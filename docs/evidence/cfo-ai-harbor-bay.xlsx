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Harbor Bay assumptions" sheetId="1" r:id="rId1"/>
    <sheet name="Harbor Bay monthly P&amp;L and cash" sheetId="2" r:id="rId2"/>
    <sheet name="Scenario assumptions side by si" sheetId="3" r:id="rId3"/>
    <sheet name="Scenario outputs — monthly run-" sheetId="4" r:id="rId4"/>
    <sheet name="Seed product catalog — provisio" sheetId="5" r:id="rId5"/>
    <sheet name="Catalog product-cost estimation" sheetId="6" r:id="rId6"/>
    <sheet name="Known-cost contribution and cov" sheetId="7" r:id="rId7"/>
    <sheet name="Model inputs" sheetId="8" r:id="rId8"/>
  </sheets>
  <calcPr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#,##0;(#,##0)"/>
    <numFmt numFmtId="165" formatCode="0.00%"/>
    <numFmt numFmtId="166" formatCode="&quot;$&quot;#,##0.00;(&quot;$&quot;#,##0.00)"/>
    <numFmt numFmtId="167" formatCode="&quot;$&quot;#,##0;(&quot;$&quot;#,##0)"/>
    <numFmt numFmtId="168" formatCode="0.0%"/>
    <numFmt numFmtId="169" formatCode="0%"/>
    <numFmt numFmtId="170" formatCode="#,##0.0;(#,##0.0)"/>
    <numFmt numFmtId="171" formatCode="#,##0.###;(#,##0.###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Harbor Bay assumptions</t>
        </is>
      </c>
    </row>
    <row r="2" ht="20" customHeight="1">
      <c r="A2" t="inlineStr" s="2">
        <is>
          <t xml:space="preserve">Atlas Commerce — Harbor Bay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Harbor Bay</t>
        </is>
      </c>
    </row>
    <row r="5">
      <c r="A5" t="inlineStr" s="5">
        <is>
          <t xml:space="preserve">Monthly visits</t>
        </is>
      </c>
      <c r="B5" s="6">
        <f>50000</f>
        <v>50000</v>
      </c>
    </row>
    <row r="6">
      <c r="A6" t="inlineStr" s="7">
        <is>
          <t xml:space="preserve">Conversion rate</t>
        </is>
      </c>
      <c r="B6" s="8">
        <f>0.025</f>
        <v>0.025</v>
      </c>
    </row>
    <row r="7">
      <c r="A7" t="inlineStr" s="7">
        <is>
          <t xml:space="preserve">Average order value</t>
        </is>
      </c>
      <c r="B7" s="9">
        <f>85</f>
        <v>85</v>
      </c>
    </row>
    <row r="8">
      <c r="A8" t="inlineStr" s="7">
        <is>
          <t xml:space="preserve">Product cost per order (provisional)</t>
        </is>
      </c>
      <c r="B8" s="9">
        <f>'Harbor Bay assumptions'!B7*'Catalog product-cost estimation'!B7</f>
        <v>42.774902975420446</v>
      </c>
    </row>
    <row r="9">
      <c r="A9" t="inlineStr" s="7">
        <is>
          <t xml:space="preserve">Fulfillment cost per order</t>
        </is>
      </c>
      <c r="B9" s="9">
        <f>12</f>
        <v>12</v>
      </c>
    </row>
    <row r="10">
      <c r="A10" t="inlineStr" s="7">
        <is>
          <t xml:space="preserve">Campaign spend per month</t>
        </is>
      </c>
      <c r="B10" s="10">
        <f>15000</f>
        <v>15000</v>
      </c>
    </row>
    <row r="11">
      <c r="A11" t="inlineStr" s="7">
        <is>
          <t xml:space="preserve">Inference cost per month</t>
        </is>
      </c>
      <c r="B11" s="10">
        <f>3000</f>
        <v>3000</v>
      </c>
    </row>
    <row r="12">
      <c r="A12" t="inlineStr" s="7">
        <is>
          <t xml:space="preserve">Infrastructure cost per month (synthetic demo)</t>
        </is>
      </c>
      <c r="B12" s="10">
        <f>500</f>
        <v>500</v>
      </c>
    </row>
    <row r="13">
      <c r="A13" t="inlineStr" s="5">
        <is>
          <t xml:space="preserve">Opening cash (synthetic demo)</t>
        </is>
      </c>
      <c r="B13" s="11">
        <f>30000</f>
        <v>30000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P3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Harbor Bay monthly P&amp;L and cash</t>
        </is>
      </c>
    </row>
    <row r="2" ht="20" customHeight="1">
      <c r="A2" t="inlineStr" s="2">
        <is>
          <t xml:space="preserve">Atlas Commerce — Harbor Bay · Base</t>
        </is>
      </c>
    </row>
    <row r="4" ht="22" customHeight="1">
      <c r="A4" t="inlineStr" s="3">
        <is>
          <t xml:space="preserve">Variable / dimension</t>
        </is>
      </c>
      <c r="B4" t="inlineStr" s="12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2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2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2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12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</row>
    <row r="5">
      <c r="A5" t="inlineStr" s="5">
        <is>
          <t xml:space="preserve">Visits</t>
        </is>
      </c>
      <c r="B5" s="6">
        <f>SUM('Harbor Bay monthly P&amp;L and cash'!B6)</f>
        <v>50000</v>
      </c>
      <c r="C5" s="6">
        <f>SUM('Harbor Bay monthly P&amp;L and cash'!C6)</f>
        <v>50000</v>
      </c>
      <c r="D5" s="6">
        <f>SUM('Harbor Bay monthly P&amp;L and cash'!D6)</f>
        <v>50000</v>
      </c>
      <c r="E5" s="6">
        <f>SUM('Harbor Bay monthly P&amp;L and cash'!E6)</f>
        <v>50000</v>
      </c>
      <c r="F5" s="6">
        <f>SUM('Harbor Bay monthly P&amp;L and cash'!F6)</f>
        <v>50000</v>
      </c>
      <c r="G5" s="6">
        <f>SUM('Harbor Bay monthly P&amp;L and cash'!G6)</f>
        <v>50000</v>
      </c>
      <c r="H5" s="6">
        <f>SUM('Harbor Bay monthly P&amp;L and cash'!H6)</f>
        <v>50000</v>
      </c>
      <c r="I5" s="6">
        <f>SUM('Harbor Bay monthly P&amp;L and cash'!I6)</f>
        <v>50000</v>
      </c>
      <c r="J5" s="6">
        <f>SUM('Harbor Bay monthly P&amp;L and cash'!J6)</f>
        <v>50000</v>
      </c>
      <c r="K5" s="6">
        <f>SUM('Harbor Bay monthly P&amp;L and cash'!K6)</f>
        <v>50000</v>
      </c>
      <c r="L5" s="6">
        <f>SUM('Harbor Bay monthly P&amp;L and cash'!L6)</f>
        <v>50000</v>
      </c>
      <c r="M5" s="6">
        <f>SUM('Harbor Bay monthly P&amp;L and cash'!M6)</f>
        <v>50000</v>
      </c>
      <c r="N5" s="6">
        <f>SUM('Harbor Bay monthly P&amp;L and cash'!N6)</f>
        <v>50000</v>
      </c>
      <c r="O5" s="6">
        <f>SUM('Harbor Bay monthly P&amp;L and cash'!O6)</f>
        <v>50000</v>
      </c>
      <c r="P5" s="6">
        <f>SUM('Harbor Bay monthly P&amp;L and cash'!P6)</f>
        <v>50000</v>
      </c>
    </row>
    <row r="6" outlineLevel="1">
      <c r="A6" t="inlineStr" s="13">
        <is>
          <t xml:space="preserve">Harbor Bay</t>
        </is>
      </c>
      <c r="B6" s="14">
        <f>IF('Harbor Bay assumptions'!B5="","",'Harbor Bay assumptions'!B5)</f>
        <v>50000</v>
      </c>
      <c r="C6" s="14">
        <f>IF('Harbor Bay assumptions'!B5="","",'Harbor Bay assumptions'!B5)</f>
        <v>50000</v>
      </c>
      <c r="D6" s="14">
        <f>IF('Harbor Bay assumptions'!B5="","",'Harbor Bay assumptions'!B5)</f>
        <v>50000</v>
      </c>
      <c r="E6" s="14">
        <f>IF('Harbor Bay assumptions'!B5="","",'Harbor Bay assumptions'!B5)</f>
        <v>50000</v>
      </c>
      <c r="F6" s="14">
        <f>IF('Harbor Bay assumptions'!B5="","",'Harbor Bay assumptions'!B5)</f>
        <v>50000</v>
      </c>
      <c r="G6" s="14">
        <f>IF('Harbor Bay assumptions'!B5="","",'Harbor Bay assumptions'!B5)</f>
        <v>50000</v>
      </c>
      <c r="H6" s="14">
        <f>IF('Harbor Bay assumptions'!B5="","",'Harbor Bay assumptions'!B5)</f>
        <v>50000</v>
      </c>
      <c r="I6" s="14">
        <f>IF('Harbor Bay assumptions'!B5="","",'Harbor Bay assumptions'!B5)</f>
        <v>50000</v>
      </c>
      <c r="J6" s="14">
        <f>IF('Harbor Bay assumptions'!B5="","",'Harbor Bay assumptions'!B5)</f>
        <v>50000</v>
      </c>
      <c r="K6" s="14">
        <f>IF('Harbor Bay assumptions'!B5="","",'Harbor Bay assumptions'!B5)</f>
        <v>50000</v>
      </c>
      <c r="L6" s="14">
        <f>IF('Harbor Bay assumptions'!B5="","",'Harbor Bay assumptions'!B5)</f>
        <v>50000</v>
      </c>
      <c r="M6" s="14">
        <f>IF('Harbor Bay assumptions'!B5="","",'Harbor Bay assumptions'!B5)</f>
        <v>50000</v>
      </c>
      <c r="N6" s="14">
        <f>IF('Harbor Bay assumptions'!B5="","",'Harbor Bay assumptions'!B5)</f>
        <v>50000</v>
      </c>
      <c r="O6" s="14">
        <f>IF('Harbor Bay assumptions'!B5="","",'Harbor Bay assumptions'!B5)</f>
        <v>50000</v>
      </c>
      <c r="P6" s="14">
        <f>IF('Harbor Bay assumptions'!B5="","",'Harbor Bay assumptions'!B5)</f>
        <v>50000</v>
      </c>
    </row>
    <row r="7">
      <c r="A7" t="inlineStr" s="5">
        <is>
          <t xml:space="preserve">Orders</t>
        </is>
      </c>
      <c r="B7" s="6">
        <f>SUM('Harbor Bay monthly P&amp;L and cash'!B8)</f>
        <v>1250</v>
      </c>
      <c r="C7" s="6">
        <f>SUM('Harbor Bay monthly P&amp;L and cash'!C8)</f>
        <v>1250</v>
      </c>
      <c r="D7" s="6">
        <f>SUM('Harbor Bay monthly P&amp;L and cash'!D8)</f>
        <v>1250</v>
      </c>
      <c r="E7" s="6">
        <f>SUM('Harbor Bay monthly P&amp;L and cash'!E8)</f>
        <v>1250</v>
      </c>
      <c r="F7" s="6">
        <f>SUM('Harbor Bay monthly P&amp;L and cash'!F8)</f>
        <v>1250</v>
      </c>
      <c r="G7" s="6">
        <f>SUM('Harbor Bay monthly P&amp;L and cash'!G8)</f>
        <v>1250</v>
      </c>
      <c r="H7" s="6">
        <f>SUM('Harbor Bay monthly P&amp;L and cash'!H8)</f>
        <v>1250</v>
      </c>
      <c r="I7" s="6">
        <f>SUM('Harbor Bay monthly P&amp;L and cash'!I8)</f>
        <v>1250</v>
      </c>
      <c r="J7" s="6">
        <f>SUM('Harbor Bay monthly P&amp;L and cash'!J8)</f>
        <v>1250</v>
      </c>
      <c r="K7" s="6">
        <f>SUM('Harbor Bay monthly P&amp;L and cash'!K8)</f>
        <v>1250</v>
      </c>
      <c r="L7" s="6">
        <f>SUM('Harbor Bay monthly P&amp;L and cash'!L8)</f>
        <v>1250</v>
      </c>
      <c r="M7" s="6">
        <f>SUM('Harbor Bay monthly P&amp;L and cash'!M8)</f>
        <v>1250</v>
      </c>
      <c r="N7" s="6">
        <f>SUM('Harbor Bay monthly P&amp;L and cash'!N8)</f>
        <v>1250</v>
      </c>
      <c r="O7" s="6">
        <f>SUM('Harbor Bay monthly P&amp;L and cash'!O8)</f>
        <v>1250</v>
      </c>
      <c r="P7" s="6">
        <f>SUM('Harbor Bay monthly P&amp;L and cash'!P8)</f>
        <v>1250</v>
      </c>
    </row>
    <row r="8" outlineLevel="1">
      <c r="A8" t="inlineStr" s="13">
        <is>
          <t xml:space="preserve">Harbor Bay</t>
        </is>
      </c>
      <c r="B8" s="14">
        <f>'Harbor Bay monthly P&amp;L and cash'!B6*'Harbor Bay assumptions'!B6</f>
        <v>1250</v>
      </c>
      <c r="C8" s="14">
        <f>'Harbor Bay monthly P&amp;L and cash'!C6*'Harbor Bay assumptions'!B6</f>
        <v>1250</v>
      </c>
      <c r="D8" s="14">
        <f>'Harbor Bay monthly P&amp;L and cash'!D6*'Harbor Bay assumptions'!B6</f>
        <v>1250</v>
      </c>
      <c r="E8" s="14">
        <f>'Harbor Bay monthly P&amp;L and cash'!E6*'Harbor Bay assumptions'!B6</f>
        <v>1250</v>
      </c>
      <c r="F8" s="14">
        <f>'Harbor Bay monthly P&amp;L and cash'!F6*'Harbor Bay assumptions'!B6</f>
        <v>1250</v>
      </c>
      <c r="G8" s="14">
        <f>'Harbor Bay monthly P&amp;L and cash'!G6*'Harbor Bay assumptions'!B6</f>
        <v>1250</v>
      </c>
      <c r="H8" s="14">
        <f>'Harbor Bay monthly P&amp;L and cash'!H6*'Harbor Bay assumptions'!B6</f>
        <v>1250</v>
      </c>
      <c r="I8" s="14">
        <f>'Harbor Bay monthly P&amp;L and cash'!I6*'Harbor Bay assumptions'!B6</f>
        <v>1250</v>
      </c>
      <c r="J8" s="14">
        <f>'Harbor Bay monthly P&amp;L and cash'!J6*'Harbor Bay assumptions'!B6</f>
        <v>1250</v>
      </c>
      <c r="K8" s="14">
        <f>'Harbor Bay monthly P&amp;L and cash'!K6*'Harbor Bay assumptions'!B6</f>
        <v>1250</v>
      </c>
      <c r="L8" s="14">
        <f>'Harbor Bay monthly P&amp;L and cash'!L6*'Harbor Bay assumptions'!B6</f>
        <v>1250</v>
      </c>
      <c r="M8" s="14">
        <f>'Harbor Bay monthly P&amp;L and cash'!M6*'Harbor Bay assumptions'!B6</f>
        <v>1250</v>
      </c>
      <c r="N8" s="14">
        <f>'Harbor Bay monthly P&amp;L and cash'!N6*'Harbor Bay assumptions'!B6</f>
        <v>1250</v>
      </c>
      <c r="O8" s="14">
        <f>'Harbor Bay monthly P&amp;L and cash'!O6*'Harbor Bay assumptions'!B6</f>
        <v>1250</v>
      </c>
      <c r="P8" s="14">
        <f>'Harbor Bay monthly P&amp;L and cash'!P6*'Harbor Bay assumptions'!B6</f>
        <v>1250</v>
      </c>
    </row>
    <row r="9">
      <c r="A9" t="inlineStr" s="5">
        <is>
          <t xml:space="preserve">Revenue</t>
        </is>
      </c>
      <c r="B9" s="11">
        <f>SUM('Harbor Bay monthly P&amp;L and cash'!B10)</f>
        <v>106250</v>
      </c>
      <c r="C9" s="11">
        <f>SUM('Harbor Bay monthly P&amp;L and cash'!C10)</f>
        <v>106250</v>
      </c>
      <c r="D9" s="11">
        <f>SUM('Harbor Bay monthly P&amp;L and cash'!D10)</f>
        <v>106250</v>
      </c>
      <c r="E9" s="11">
        <f>SUM('Harbor Bay monthly P&amp;L and cash'!E10)</f>
        <v>106250</v>
      </c>
      <c r="F9" s="11">
        <f>SUM('Harbor Bay monthly P&amp;L and cash'!F10)</f>
        <v>106250</v>
      </c>
      <c r="G9" s="11">
        <f>SUM('Harbor Bay monthly P&amp;L and cash'!G10)</f>
        <v>106250</v>
      </c>
      <c r="H9" s="11">
        <f>SUM('Harbor Bay monthly P&amp;L and cash'!H10)</f>
        <v>106250</v>
      </c>
      <c r="I9" s="11">
        <f>SUM('Harbor Bay monthly P&amp;L and cash'!I10)</f>
        <v>106250</v>
      </c>
      <c r="J9" s="11">
        <f>SUM('Harbor Bay monthly P&amp;L and cash'!J10)</f>
        <v>106250</v>
      </c>
      <c r="K9" s="11">
        <f>SUM('Harbor Bay monthly P&amp;L and cash'!K10)</f>
        <v>106250</v>
      </c>
      <c r="L9" s="11">
        <f>SUM('Harbor Bay monthly P&amp;L and cash'!L10)</f>
        <v>106250</v>
      </c>
      <c r="M9" s="11">
        <f>SUM('Harbor Bay monthly P&amp;L and cash'!M10)</f>
        <v>106250</v>
      </c>
      <c r="N9" s="11">
        <f>SUM('Harbor Bay monthly P&amp;L and cash'!N10)</f>
        <v>106250</v>
      </c>
      <c r="O9" s="11">
        <f>SUM('Harbor Bay monthly P&amp;L and cash'!O10)</f>
        <v>106250</v>
      </c>
      <c r="P9" s="11">
        <f>SUM('Harbor Bay monthly P&amp;L and cash'!P10)</f>
        <v>106250</v>
      </c>
    </row>
    <row r="10" outlineLevel="1">
      <c r="A10" t="inlineStr" s="13">
        <is>
          <t xml:space="preserve">Harbor Bay</t>
        </is>
      </c>
      <c r="B10" s="10">
        <f>'Harbor Bay monthly P&amp;L and cash'!B8*'Harbor Bay assumptions'!B7</f>
        <v>106250</v>
      </c>
      <c r="C10" s="10">
        <f>'Harbor Bay monthly P&amp;L and cash'!C8*'Harbor Bay assumptions'!B7</f>
        <v>106250</v>
      </c>
      <c r="D10" s="10">
        <f>'Harbor Bay monthly P&amp;L and cash'!D8*'Harbor Bay assumptions'!B7</f>
        <v>106250</v>
      </c>
      <c r="E10" s="10">
        <f>'Harbor Bay monthly P&amp;L and cash'!E8*'Harbor Bay assumptions'!B7</f>
        <v>106250</v>
      </c>
      <c r="F10" s="10">
        <f>'Harbor Bay monthly P&amp;L and cash'!F8*'Harbor Bay assumptions'!B7</f>
        <v>106250</v>
      </c>
      <c r="G10" s="10">
        <f>'Harbor Bay monthly P&amp;L and cash'!G8*'Harbor Bay assumptions'!B7</f>
        <v>106250</v>
      </c>
      <c r="H10" s="10">
        <f>'Harbor Bay monthly P&amp;L and cash'!H8*'Harbor Bay assumptions'!B7</f>
        <v>106250</v>
      </c>
      <c r="I10" s="10">
        <f>'Harbor Bay monthly P&amp;L and cash'!I8*'Harbor Bay assumptions'!B7</f>
        <v>106250</v>
      </c>
      <c r="J10" s="10">
        <f>'Harbor Bay monthly P&amp;L and cash'!J8*'Harbor Bay assumptions'!B7</f>
        <v>106250</v>
      </c>
      <c r="K10" s="10">
        <f>'Harbor Bay monthly P&amp;L and cash'!K8*'Harbor Bay assumptions'!B7</f>
        <v>106250</v>
      </c>
      <c r="L10" s="10">
        <f>'Harbor Bay monthly P&amp;L and cash'!L8*'Harbor Bay assumptions'!B7</f>
        <v>106250</v>
      </c>
      <c r="M10" s="10">
        <f>'Harbor Bay monthly P&amp;L and cash'!M8*'Harbor Bay assumptions'!B7</f>
        <v>106250</v>
      </c>
      <c r="N10" s="10">
        <f>'Harbor Bay monthly P&amp;L and cash'!N8*'Harbor Bay assumptions'!B7</f>
        <v>106250</v>
      </c>
      <c r="O10" s="10">
        <f>'Harbor Bay monthly P&amp;L and cash'!O8*'Harbor Bay assumptions'!B7</f>
        <v>106250</v>
      </c>
      <c r="P10" s="10">
        <f>'Harbor Bay monthly P&amp;L and cash'!P8*'Harbor Bay assumptions'!B7</f>
        <v>106250</v>
      </c>
    </row>
    <row r="11">
      <c r="A11" t="inlineStr" s="5">
        <is>
          <t xml:space="preserve">Product cost</t>
        </is>
      </c>
      <c r="B11" s="11">
        <f>SUM('Harbor Bay monthly P&amp;L and cash'!B12)</f>
        <v>53468.628719275555</v>
      </c>
      <c r="C11" s="11">
        <f>SUM('Harbor Bay monthly P&amp;L and cash'!C12)</f>
        <v>53468.628719275555</v>
      </c>
      <c r="D11" s="11">
        <f>SUM('Harbor Bay monthly P&amp;L and cash'!D12)</f>
        <v>53468.628719275555</v>
      </c>
      <c r="E11" s="11">
        <f>SUM('Harbor Bay monthly P&amp;L and cash'!E12)</f>
        <v>53468.628719275555</v>
      </c>
      <c r="F11" s="11">
        <f>SUM('Harbor Bay monthly P&amp;L and cash'!F12)</f>
        <v>53468.628719275555</v>
      </c>
      <c r="G11" s="11">
        <f>SUM('Harbor Bay monthly P&amp;L and cash'!G12)</f>
        <v>53468.628719275555</v>
      </c>
      <c r="H11" s="11">
        <f>SUM('Harbor Bay monthly P&amp;L and cash'!H12)</f>
        <v>53468.628719275555</v>
      </c>
      <c r="I11" s="11">
        <f>SUM('Harbor Bay monthly P&amp;L and cash'!I12)</f>
        <v>53468.628719275555</v>
      </c>
      <c r="J11" s="11">
        <f>SUM('Harbor Bay monthly P&amp;L and cash'!J12)</f>
        <v>53468.628719275555</v>
      </c>
      <c r="K11" s="11">
        <f>SUM('Harbor Bay monthly P&amp;L and cash'!K12)</f>
        <v>53468.628719275555</v>
      </c>
      <c r="L11" s="11">
        <f>SUM('Harbor Bay monthly P&amp;L and cash'!L12)</f>
        <v>53468.628719275555</v>
      </c>
      <c r="M11" s="11">
        <f>SUM('Harbor Bay monthly P&amp;L and cash'!M12)</f>
        <v>53468.628719275555</v>
      </c>
      <c r="N11" s="11">
        <f>SUM('Harbor Bay monthly P&amp;L and cash'!N12)</f>
        <v>53468.628719275555</v>
      </c>
      <c r="O11" s="11">
        <f>SUM('Harbor Bay monthly P&amp;L and cash'!O12)</f>
        <v>53468.628719275555</v>
      </c>
      <c r="P11" s="11">
        <f>SUM('Harbor Bay monthly P&amp;L and cash'!P12)</f>
        <v>53468.628719275555</v>
      </c>
    </row>
    <row r="12" outlineLevel="1">
      <c r="A12" t="inlineStr" s="13">
        <is>
          <t xml:space="preserve">Harbor Bay</t>
        </is>
      </c>
      <c r="B12" s="10">
        <f>'Harbor Bay monthly P&amp;L and cash'!B8*'Harbor Bay assumptions'!B8</f>
        <v>53468.628719275555</v>
      </c>
      <c r="C12" s="10">
        <f>'Harbor Bay monthly P&amp;L and cash'!C8*'Harbor Bay assumptions'!B8</f>
        <v>53468.628719275555</v>
      </c>
      <c r="D12" s="10">
        <f>'Harbor Bay monthly P&amp;L and cash'!D8*'Harbor Bay assumptions'!B8</f>
        <v>53468.628719275555</v>
      </c>
      <c r="E12" s="10">
        <f>'Harbor Bay monthly P&amp;L and cash'!E8*'Harbor Bay assumptions'!B8</f>
        <v>53468.628719275555</v>
      </c>
      <c r="F12" s="10">
        <f>'Harbor Bay monthly P&amp;L and cash'!F8*'Harbor Bay assumptions'!B8</f>
        <v>53468.628719275555</v>
      </c>
      <c r="G12" s="10">
        <f>'Harbor Bay monthly P&amp;L and cash'!G8*'Harbor Bay assumptions'!B8</f>
        <v>53468.628719275555</v>
      </c>
      <c r="H12" s="10">
        <f>'Harbor Bay monthly P&amp;L and cash'!H8*'Harbor Bay assumptions'!B8</f>
        <v>53468.628719275555</v>
      </c>
      <c r="I12" s="10">
        <f>'Harbor Bay monthly P&amp;L and cash'!I8*'Harbor Bay assumptions'!B8</f>
        <v>53468.628719275555</v>
      </c>
      <c r="J12" s="10">
        <f>'Harbor Bay monthly P&amp;L and cash'!J8*'Harbor Bay assumptions'!B8</f>
        <v>53468.628719275555</v>
      </c>
      <c r="K12" s="10">
        <f>'Harbor Bay monthly P&amp;L and cash'!K8*'Harbor Bay assumptions'!B8</f>
        <v>53468.628719275555</v>
      </c>
      <c r="L12" s="10">
        <f>'Harbor Bay monthly P&amp;L and cash'!L8*'Harbor Bay assumptions'!B8</f>
        <v>53468.628719275555</v>
      </c>
      <c r="M12" s="10">
        <f>'Harbor Bay monthly P&amp;L and cash'!M8*'Harbor Bay assumptions'!B8</f>
        <v>53468.628719275555</v>
      </c>
      <c r="N12" s="10">
        <f>'Harbor Bay monthly P&amp;L and cash'!N8*'Harbor Bay assumptions'!B8</f>
        <v>53468.628719275555</v>
      </c>
      <c r="O12" s="10">
        <f>'Harbor Bay monthly P&amp;L and cash'!O8*'Harbor Bay assumptions'!B8</f>
        <v>53468.628719275555</v>
      </c>
      <c r="P12" s="10">
        <f>'Harbor Bay monthly P&amp;L and cash'!P8*'Harbor Bay assumptions'!B8</f>
        <v>53468.628719275555</v>
      </c>
    </row>
    <row r="13">
      <c r="A13" t="inlineStr" s="5">
        <is>
          <t xml:space="preserve">Fulfillment cost</t>
        </is>
      </c>
      <c r="B13" s="11">
        <f>SUM('Harbor Bay monthly P&amp;L and cash'!B14)</f>
        <v>15000</v>
      </c>
      <c r="C13" s="11">
        <f>SUM('Harbor Bay monthly P&amp;L and cash'!C14)</f>
        <v>15000</v>
      </c>
      <c r="D13" s="11">
        <f>SUM('Harbor Bay monthly P&amp;L and cash'!D14)</f>
        <v>15000</v>
      </c>
      <c r="E13" s="11">
        <f>SUM('Harbor Bay monthly P&amp;L and cash'!E14)</f>
        <v>15000</v>
      </c>
      <c r="F13" s="11">
        <f>SUM('Harbor Bay monthly P&amp;L and cash'!F14)</f>
        <v>15000</v>
      </c>
      <c r="G13" s="11">
        <f>SUM('Harbor Bay monthly P&amp;L and cash'!G14)</f>
        <v>15000</v>
      </c>
      <c r="H13" s="11">
        <f>SUM('Harbor Bay monthly P&amp;L and cash'!H14)</f>
        <v>15000</v>
      </c>
      <c r="I13" s="11">
        <f>SUM('Harbor Bay monthly P&amp;L and cash'!I14)</f>
        <v>15000</v>
      </c>
      <c r="J13" s="11">
        <f>SUM('Harbor Bay monthly P&amp;L and cash'!J14)</f>
        <v>15000</v>
      </c>
      <c r="K13" s="11">
        <f>SUM('Harbor Bay monthly P&amp;L and cash'!K14)</f>
        <v>15000</v>
      </c>
      <c r="L13" s="11">
        <f>SUM('Harbor Bay monthly P&amp;L and cash'!L14)</f>
        <v>15000</v>
      </c>
      <c r="M13" s="11">
        <f>SUM('Harbor Bay monthly P&amp;L and cash'!M14)</f>
        <v>15000</v>
      </c>
      <c r="N13" s="11">
        <f>SUM('Harbor Bay monthly P&amp;L and cash'!N14)</f>
        <v>15000</v>
      </c>
      <c r="O13" s="11">
        <f>SUM('Harbor Bay monthly P&amp;L and cash'!O14)</f>
        <v>15000</v>
      </c>
      <c r="P13" s="11">
        <f>SUM('Harbor Bay monthly P&amp;L and cash'!P14)</f>
        <v>15000</v>
      </c>
    </row>
    <row r="14" outlineLevel="1">
      <c r="A14" t="inlineStr" s="13">
        <is>
          <t xml:space="preserve">Harbor Bay</t>
        </is>
      </c>
      <c r="B14" s="10">
        <f>'Harbor Bay monthly P&amp;L and cash'!B8*'Harbor Bay assumptions'!B9</f>
        <v>15000</v>
      </c>
      <c r="C14" s="10">
        <f>'Harbor Bay monthly P&amp;L and cash'!C8*'Harbor Bay assumptions'!B9</f>
        <v>15000</v>
      </c>
      <c r="D14" s="10">
        <f>'Harbor Bay monthly P&amp;L and cash'!D8*'Harbor Bay assumptions'!B9</f>
        <v>15000</v>
      </c>
      <c r="E14" s="10">
        <f>'Harbor Bay monthly P&amp;L and cash'!E8*'Harbor Bay assumptions'!B9</f>
        <v>15000</v>
      </c>
      <c r="F14" s="10">
        <f>'Harbor Bay monthly P&amp;L and cash'!F8*'Harbor Bay assumptions'!B9</f>
        <v>15000</v>
      </c>
      <c r="G14" s="10">
        <f>'Harbor Bay monthly P&amp;L and cash'!G8*'Harbor Bay assumptions'!B9</f>
        <v>15000</v>
      </c>
      <c r="H14" s="10">
        <f>'Harbor Bay monthly P&amp;L and cash'!H8*'Harbor Bay assumptions'!B9</f>
        <v>15000</v>
      </c>
      <c r="I14" s="10">
        <f>'Harbor Bay monthly P&amp;L and cash'!I8*'Harbor Bay assumptions'!B9</f>
        <v>15000</v>
      </c>
      <c r="J14" s="10">
        <f>'Harbor Bay monthly P&amp;L and cash'!J8*'Harbor Bay assumptions'!B9</f>
        <v>15000</v>
      </c>
      <c r="K14" s="10">
        <f>'Harbor Bay monthly P&amp;L and cash'!K8*'Harbor Bay assumptions'!B9</f>
        <v>15000</v>
      </c>
      <c r="L14" s="10">
        <f>'Harbor Bay monthly P&amp;L and cash'!L8*'Harbor Bay assumptions'!B9</f>
        <v>15000</v>
      </c>
      <c r="M14" s="10">
        <f>'Harbor Bay monthly P&amp;L and cash'!M8*'Harbor Bay assumptions'!B9</f>
        <v>15000</v>
      </c>
      <c r="N14" s="10">
        <f>'Harbor Bay monthly P&amp;L and cash'!N8*'Harbor Bay assumptions'!B9</f>
        <v>15000</v>
      </c>
      <c r="O14" s="10">
        <f>'Harbor Bay monthly P&amp;L and cash'!O8*'Harbor Bay assumptions'!B9</f>
        <v>15000</v>
      </c>
      <c r="P14" s="10">
        <f>'Harbor Bay monthly P&amp;L and cash'!P8*'Harbor Bay assumptions'!B9</f>
        <v>15000</v>
      </c>
    </row>
    <row r="15">
      <c r="A15" t="inlineStr" s="5">
        <is>
          <t xml:space="preserve">Gross profit</t>
        </is>
      </c>
      <c r="B15" s="11">
        <f>SUM('Harbor Bay monthly P&amp;L and cash'!B16)</f>
        <v>37781.371280724445</v>
      </c>
      <c r="C15" s="11">
        <f>SUM('Harbor Bay monthly P&amp;L and cash'!C16)</f>
        <v>37781.371280724445</v>
      </c>
      <c r="D15" s="11">
        <f>SUM('Harbor Bay monthly P&amp;L and cash'!D16)</f>
        <v>37781.371280724445</v>
      </c>
      <c r="E15" s="11">
        <f>SUM('Harbor Bay monthly P&amp;L and cash'!E16)</f>
        <v>37781.371280724445</v>
      </c>
      <c r="F15" s="11">
        <f>SUM('Harbor Bay monthly P&amp;L and cash'!F16)</f>
        <v>37781.371280724445</v>
      </c>
      <c r="G15" s="11">
        <f>SUM('Harbor Bay monthly P&amp;L and cash'!G16)</f>
        <v>37781.371280724445</v>
      </c>
      <c r="H15" s="11">
        <f>SUM('Harbor Bay monthly P&amp;L and cash'!H16)</f>
        <v>37781.371280724445</v>
      </c>
      <c r="I15" s="11">
        <f>SUM('Harbor Bay monthly P&amp;L and cash'!I16)</f>
        <v>37781.371280724445</v>
      </c>
      <c r="J15" s="11">
        <f>SUM('Harbor Bay monthly P&amp;L and cash'!J16)</f>
        <v>37781.371280724445</v>
      </c>
      <c r="K15" s="11">
        <f>SUM('Harbor Bay monthly P&amp;L and cash'!K16)</f>
        <v>37781.371280724445</v>
      </c>
      <c r="L15" s="11">
        <f>SUM('Harbor Bay monthly P&amp;L and cash'!L16)</f>
        <v>37781.371280724445</v>
      </c>
      <c r="M15" s="11">
        <f>SUM('Harbor Bay monthly P&amp;L and cash'!M16)</f>
        <v>37781.371280724445</v>
      </c>
      <c r="N15" s="11">
        <f>SUM('Harbor Bay monthly P&amp;L and cash'!N16)</f>
        <v>37781.371280724445</v>
      </c>
      <c r="O15" s="11">
        <f>SUM('Harbor Bay monthly P&amp;L and cash'!O16)</f>
        <v>37781.371280724445</v>
      </c>
      <c r="P15" s="11">
        <f>SUM('Harbor Bay monthly P&amp;L and cash'!P16)</f>
        <v>37781.371280724445</v>
      </c>
    </row>
    <row r="16" outlineLevel="1">
      <c r="A16" t="inlineStr" s="13">
        <is>
          <t xml:space="preserve">Harbor Bay</t>
        </is>
      </c>
      <c r="B16" s="10">
        <f>'Harbor Bay monthly P&amp;L and cash'!B10-'Harbor Bay monthly P&amp;L and cash'!B12-'Harbor Bay monthly P&amp;L and cash'!B14</f>
        <v>37781.371280724445</v>
      </c>
      <c r="C16" s="10">
        <f>'Harbor Bay monthly P&amp;L and cash'!C10-'Harbor Bay monthly P&amp;L and cash'!C12-'Harbor Bay monthly P&amp;L and cash'!C14</f>
        <v>37781.371280724445</v>
      </c>
      <c r="D16" s="10">
        <f>'Harbor Bay monthly P&amp;L and cash'!D10-'Harbor Bay monthly P&amp;L and cash'!D12-'Harbor Bay monthly P&amp;L and cash'!D14</f>
        <v>37781.371280724445</v>
      </c>
      <c r="E16" s="10">
        <f>'Harbor Bay monthly P&amp;L and cash'!E10-'Harbor Bay monthly P&amp;L and cash'!E12-'Harbor Bay monthly P&amp;L and cash'!E14</f>
        <v>37781.371280724445</v>
      </c>
      <c r="F16" s="10">
        <f>'Harbor Bay monthly P&amp;L and cash'!F10-'Harbor Bay monthly P&amp;L and cash'!F12-'Harbor Bay monthly P&amp;L and cash'!F14</f>
        <v>37781.371280724445</v>
      </c>
      <c r="G16" s="10">
        <f>'Harbor Bay monthly P&amp;L and cash'!G10-'Harbor Bay monthly P&amp;L and cash'!G12-'Harbor Bay monthly P&amp;L and cash'!G14</f>
        <v>37781.371280724445</v>
      </c>
      <c r="H16" s="10">
        <f>'Harbor Bay monthly P&amp;L and cash'!H10-'Harbor Bay monthly P&amp;L and cash'!H12-'Harbor Bay monthly P&amp;L and cash'!H14</f>
        <v>37781.371280724445</v>
      </c>
      <c r="I16" s="10">
        <f>'Harbor Bay monthly P&amp;L and cash'!I10-'Harbor Bay monthly P&amp;L and cash'!I12-'Harbor Bay monthly P&amp;L and cash'!I14</f>
        <v>37781.371280724445</v>
      </c>
      <c r="J16" s="10">
        <f>'Harbor Bay monthly P&amp;L and cash'!J10-'Harbor Bay monthly P&amp;L and cash'!J12-'Harbor Bay monthly P&amp;L and cash'!J14</f>
        <v>37781.371280724445</v>
      </c>
      <c r="K16" s="10">
        <f>'Harbor Bay monthly P&amp;L and cash'!K10-'Harbor Bay monthly P&amp;L and cash'!K12-'Harbor Bay monthly P&amp;L and cash'!K14</f>
        <v>37781.371280724445</v>
      </c>
      <c r="L16" s="10">
        <f>'Harbor Bay monthly P&amp;L and cash'!L10-'Harbor Bay monthly P&amp;L and cash'!L12-'Harbor Bay monthly P&amp;L and cash'!L14</f>
        <v>37781.371280724445</v>
      </c>
      <c r="M16" s="10">
        <f>'Harbor Bay monthly P&amp;L and cash'!M10-'Harbor Bay monthly P&amp;L and cash'!M12-'Harbor Bay monthly P&amp;L and cash'!M14</f>
        <v>37781.371280724445</v>
      </c>
      <c r="N16" s="10">
        <f>'Harbor Bay monthly P&amp;L and cash'!N10-'Harbor Bay monthly P&amp;L and cash'!N12-'Harbor Bay monthly P&amp;L and cash'!N14</f>
        <v>37781.371280724445</v>
      </c>
      <c r="O16" s="10">
        <f>'Harbor Bay monthly P&amp;L and cash'!O10-'Harbor Bay monthly P&amp;L and cash'!O12-'Harbor Bay monthly P&amp;L and cash'!O14</f>
        <v>37781.371280724445</v>
      </c>
      <c r="P16" s="10">
        <f>'Harbor Bay monthly P&amp;L and cash'!P10-'Harbor Bay monthly P&amp;L and cash'!P12-'Harbor Bay monthly P&amp;L and cash'!P14</f>
        <v>37781.371280724445</v>
      </c>
    </row>
    <row r="17">
      <c r="A17" t="inlineStr" s="5">
        <is>
          <t xml:space="preserve">Gross margin</t>
        </is>
      </c>
      <c r="B17" s="15">
        <f>IFERROR('Harbor Bay monthly P&amp;L and cash'!B15/'Harbor Bay monthly P&amp;L and cash'!B9,"")</f>
        <v>0.3555893767597595</v>
      </c>
      <c r="C17" s="15">
        <f>IFERROR('Harbor Bay monthly P&amp;L and cash'!C15/'Harbor Bay monthly P&amp;L and cash'!C9,"")</f>
        <v>0.3555893767597595</v>
      </c>
      <c r="D17" s="15">
        <f>IFERROR('Harbor Bay monthly P&amp;L and cash'!D15/'Harbor Bay monthly P&amp;L and cash'!D9,"")</f>
        <v>0.3555893767597595</v>
      </c>
      <c r="E17" s="15">
        <f>IFERROR('Harbor Bay monthly P&amp;L and cash'!E15/'Harbor Bay monthly P&amp;L and cash'!E9,"")</f>
        <v>0.3555893767597595</v>
      </c>
      <c r="F17" s="15">
        <f>IFERROR('Harbor Bay monthly P&amp;L and cash'!F15/'Harbor Bay monthly P&amp;L and cash'!F9,"")</f>
        <v>0.3555893767597595</v>
      </c>
      <c r="G17" s="15">
        <f>IFERROR('Harbor Bay monthly P&amp;L and cash'!G15/'Harbor Bay monthly P&amp;L and cash'!G9,"")</f>
        <v>0.3555893767597595</v>
      </c>
      <c r="H17" s="15">
        <f>IFERROR('Harbor Bay monthly P&amp;L and cash'!H15/'Harbor Bay monthly P&amp;L and cash'!H9,"")</f>
        <v>0.3555893767597595</v>
      </c>
      <c r="I17" s="15">
        <f>IFERROR('Harbor Bay monthly P&amp;L and cash'!I15/'Harbor Bay monthly P&amp;L and cash'!I9,"")</f>
        <v>0.3555893767597595</v>
      </c>
      <c r="J17" s="15">
        <f>IFERROR('Harbor Bay monthly P&amp;L and cash'!J15/'Harbor Bay monthly P&amp;L and cash'!J9,"")</f>
        <v>0.3555893767597595</v>
      </c>
      <c r="K17" s="15">
        <f>IFERROR('Harbor Bay monthly P&amp;L and cash'!K15/'Harbor Bay monthly P&amp;L and cash'!K9,"")</f>
        <v>0.3555893767597595</v>
      </c>
      <c r="L17" s="15">
        <f>IFERROR('Harbor Bay monthly P&amp;L and cash'!L15/'Harbor Bay monthly P&amp;L and cash'!L9,"")</f>
        <v>0.3555893767597595</v>
      </c>
      <c r="M17" s="15">
        <f>IFERROR('Harbor Bay monthly P&amp;L and cash'!M15/'Harbor Bay monthly P&amp;L and cash'!M9,"")</f>
        <v>0.3555893767597595</v>
      </c>
      <c r="N17" s="15">
        <f>IFERROR('Harbor Bay monthly P&amp;L and cash'!N15/'Harbor Bay monthly P&amp;L and cash'!N9,"")</f>
        <v>0.3555893767597595</v>
      </c>
      <c r="O17" s="15">
        <f>IFERROR('Harbor Bay monthly P&amp;L and cash'!O15/'Harbor Bay monthly P&amp;L and cash'!O9,"")</f>
        <v>0.3555893767597595</v>
      </c>
      <c r="P17" s="15">
        <f>IFERROR('Harbor Bay monthly P&amp;L and cash'!P15/'Harbor Bay monthly P&amp;L and cash'!P9,"")</f>
        <v>0.3555893767597595</v>
      </c>
    </row>
    <row r="18" outlineLevel="1">
      <c r="A18" t="inlineStr" s="13">
        <is>
          <t xml:space="preserve">Harbor Bay</t>
        </is>
      </c>
      <c r="B18" s="16">
        <f>IFERROR('Harbor Bay monthly P&amp;L and cash'!B16/'Harbor Bay monthly P&amp;L and cash'!B10,"")</f>
        <v>0.3555893767597595</v>
      </c>
      <c r="C18" s="16">
        <f>IFERROR('Harbor Bay monthly P&amp;L and cash'!C16/'Harbor Bay monthly P&amp;L and cash'!C10,"")</f>
        <v>0.3555893767597595</v>
      </c>
      <c r="D18" s="16">
        <f>IFERROR('Harbor Bay monthly P&amp;L and cash'!D16/'Harbor Bay monthly P&amp;L and cash'!D10,"")</f>
        <v>0.3555893767597595</v>
      </c>
      <c r="E18" s="16">
        <f>IFERROR('Harbor Bay monthly P&amp;L and cash'!E16/'Harbor Bay monthly P&amp;L and cash'!E10,"")</f>
        <v>0.3555893767597595</v>
      </c>
      <c r="F18" s="16">
        <f>IFERROR('Harbor Bay monthly P&amp;L and cash'!F16/'Harbor Bay monthly P&amp;L and cash'!F10,"")</f>
        <v>0.3555893767597595</v>
      </c>
      <c r="G18" s="16">
        <f>IFERROR('Harbor Bay monthly P&amp;L and cash'!G16/'Harbor Bay monthly P&amp;L and cash'!G10,"")</f>
        <v>0.3555893767597595</v>
      </c>
      <c r="H18" s="16">
        <f>IFERROR('Harbor Bay monthly P&amp;L and cash'!H16/'Harbor Bay monthly P&amp;L and cash'!H10,"")</f>
        <v>0.3555893767597595</v>
      </c>
      <c r="I18" s="16">
        <f>IFERROR('Harbor Bay monthly P&amp;L and cash'!I16/'Harbor Bay monthly P&amp;L and cash'!I10,"")</f>
        <v>0.3555893767597595</v>
      </c>
      <c r="J18" s="16">
        <f>IFERROR('Harbor Bay monthly P&amp;L and cash'!J16/'Harbor Bay monthly P&amp;L and cash'!J10,"")</f>
        <v>0.3555893767597595</v>
      </c>
      <c r="K18" s="16">
        <f>IFERROR('Harbor Bay monthly P&amp;L and cash'!K16/'Harbor Bay monthly P&amp;L and cash'!K10,"")</f>
        <v>0.3555893767597595</v>
      </c>
      <c r="L18" s="16">
        <f>IFERROR('Harbor Bay monthly P&amp;L and cash'!L16/'Harbor Bay monthly P&amp;L and cash'!L10,"")</f>
        <v>0.3555893767597595</v>
      </c>
      <c r="M18" s="16">
        <f>IFERROR('Harbor Bay monthly P&amp;L and cash'!M16/'Harbor Bay monthly P&amp;L and cash'!M10,"")</f>
        <v>0.3555893767597595</v>
      </c>
      <c r="N18" s="16">
        <f>IFERROR('Harbor Bay monthly P&amp;L and cash'!N16/'Harbor Bay monthly P&amp;L and cash'!N10,"")</f>
        <v>0.3555893767597595</v>
      </c>
      <c r="O18" s="16">
        <f>IFERROR('Harbor Bay monthly P&amp;L and cash'!O16/'Harbor Bay monthly P&amp;L and cash'!O10,"")</f>
        <v>0.3555893767597595</v>
      </c>
      <c r="P18" s="16">
        <f>IFERROR('Harbor Bay monthly P&amp;L and cash'!P16/'Harbor Bay monthly P&amp;L and cash'!P10,"")</f>
        <v>0.3555893767597595</v>
      </c>
    </row>
    <row r="19">
      <c r="A19" t="inlineStr" s="5">
        <is>
          <t xml:space="preserve">Campaign expense</t>
        </is>
      </c>
      <c r="B19" s="11">
        <f>SUM('Harbor Bay monthly P&amp;L and cash'!B20)</f>
        <v>15000</v>
      </c>
      <c r="C19" s="11">
        <f>SUM('Harbor Bay monthly P&amp;L and cash'!C20)</f>
        <v>15000</v>
      </c>
      <c r="D19" s="11">
        <f>SUM('Harbor Bay monthly P&amp;L and cash'!D20)</f>
        <v>15000</v>
      </c>
      <c r="E19" s="11">
        <f>SUM('Harbor Bay monthly P&amp;L and cash'!E20)</f>
        <v>15000</v>
      </c>
      <c r="F19" s="11">
        <f>SUM('Harbor Bay monthly P&amp;L and cash'!F20)</f>
        <v>15000</v>
      </c>
      <c r="G19" s="11">
        <f>SUM('Harbor Bay monthly P&amp;L and cash'!G20)</f>
        <v>15000</v>
      </c>
      <c r="H19" s="11">
        <f>SUM('Harbor Bay monthly P&amp;L and cash'!H20)</f>
        <v>15000</v>
      </c>
      <c r="I19" s="11">
        <f>SUM('Harbor Bay monthly P&amp;L and cash'!I20)</f>
        <v>15000</v>
      </c>
      <c r="J19" s="11">
        <f>SUM('Harbor Bay monthly P&amp;L and cash'!J20)</f>
        <v>15000</v>
      </c>
      <c r="K19" s="11">
        <f>SUM('Harbor Bay monthly P&amp;L and cash'!K20)</f>
        <v>15000</v>
      </c>
      <c r="L19" s="11">
        <f>SUM('Harbor Bay monthly P&amp;L and cash'!L20)</f>
        <v>15000</v>
      </c>
      <c r="M19" s="11">
        <f>SUM('Harbor Bay monthly P&amp;L and cash'!M20)</f>
        <v>15000</v>
      </c>
      <c r="N19" s="11">
        <f>SUM('Harbor Bay monthly P&amp;L and cash'!N20)</f>
        <v>15000</v>
      </c>
      <c r="O19" s="11">
        <f>SUM('Harbor Bay monthly P&amp;L and cash'!O20)</f>
        <v>15000</v>
      </c>
      <c r="P19" s="11">
        <f>SUM('Harbor Bay monthly P&amp;L and cash'!P20)</f>
        <v>15000</v>
      </c>
    </row>
    <row r="20" outlineLevel="1">
      <c r="A20" t="inlineStr" s="13">
        <is>
          <t xml:space="preserve">Harbor Bay</t>
        </is>
      </c>
      <c r="B20" s="10">
        <f>IF('Harbor Bay assumptions'!B10="","",'Harbor Bay assumptions'!B10)</f>
        <v>15000</v>
      </c>
      <c r="C20" s="10">
        <f>IF('Harbor Bay assumptions'!B10="","",'Harbor Bay assumptions'!B10)</f>
        <v>15000</v>
      </c>
      <c r="D20" s="10">
        <f>IF('Harbor Bay assumptions'!B10="","",'Harbor Bay assumptions'!B10)</f>
        <v>15000</v>
      </c>
      <c r="E20" s="10">
        <f>IF('Harbor Bay assumptions'!B10="","",'Harbor Bay assumptions'!B10)</f>
        <v>15000</v>
      </c>
      <c r="F20" s="10">
        <f>IF('Harbor Bay assumptions'!B10="","",'Harbor Bay assumptions'!B10)</f>
        <v>15000</v>
      </c>
      <c r="G20" s="10">
        <f>IF('Harbor Bay assumptions'!B10="","",'Harbor Bay assumptions'!B10)</f>
        <v>15000</v>
      </c>
      <c r="H20" s="10">
        <f>IF('Harbor Bay assumptions'!B10="","",'Harbor Bay assumptions'!B10)</f>
        <v>15000</v>
      </c>
      <c r="I20" s="10">
        <f>IF('Harbor Bay assumptions'!B10="","",'Harbor Bay assumptions'!B10)</f>
        <v>15000</v>
      </c>
      <c r="J20" s="10">
        <f>IF('Harbor Bay assumptions'!B10="","",'Harbor Bay assumptions'!B10)</f>
        <v>15000</v>
      </c>
      <c r="K20" s="10">
        <f>IF('Harbor Bay assumptions'!B10="","",'Harbor Bay assumptions'!B10)</f>
        <v>15000</v>
      </c>
      <c r="L20" s="10">
        <f>IF('Harbor Bay assumptions'!B10="","",'Harbor Bay assumptions'!B10)</f>
        <v>15000</v>
      </c>
      <c r="M20" s="10">
        <f>IF('Harbor Bay assumptions'!B10="","",'Harbor Bay assumptions'!B10)</f>
        <v>15000</v>
      </c>
      <c r="N20" s="10">
        <f>IF('Harbor Bay assumptions'!B10="","",'Harbor Bay assumptions'!B10)</f>
        <v>15000</v>
      </c>
      <c r="O20" s="10">
        <f>IF('Harbor Bay assumptions'!B10="","",'Harbor Bay assumptions'!B10)</f>
        <v>15000</v>
      </c>
      <c r="P20" s="10">
        <f>IF('Harbor Bay assumptions'!B10="","",'Harbor Bay assumptions'!B10)</f>
        <v>15000</v>
      </c>
    </row>
    <row r="21">
      <c r="A21" t="inlineStr" s="5">
        <is>
          <t xml:space="preserve">Inference expense</t>
        </is>
      </c>
      <c r="B21" s="11">
        <f>SUM('Harbor Bay monthly P&amp;L and cash'!B22)</f>
        <v>3000</v>
      </c>
      <c r="C21" s="11">
        <f>SUM('Harbor Bay monthly P&amp;L and cash'!C22)</f>
        <v>3000</v>
      </c>
      <c r="D21" s="11">
        <f>SUM('Harbor Bay monthly P&amp;L and cash'!D22)</f>
        <v>3000</v>
      </c>
      <c r="E21" s="11">
        <f>SUM('Harbor Bay monthly P&amp;L and cash'!E22)</f>
        <v>3000</v>
      </c>
      <c r="F21" s="11">
        <f>SUM('Harbor Bay monthly P&amp;L and cash'!F22)</f>
        <v>3000</v>
      </c>
      <c r="G21" s="11">
        <f>SUM('Harbor Bay monthly P&amp;L and cash'!G22)</f>
        <v>3000</v>
      </c>
      <c r="H21" s="11">
        <f>SUM('Harbor Bay monthly P&amp;L and cash'!H22)</f>
        <v>3000</v>
      </c>
      <c r="I21" s="11">
        <f>SUM('Harbor Bay monthly P&amp;L and cash'!I22)</f>
        <v>3000</v>
      </c>
      <c r="J21" s="11">
        <f>SUM('Harbor Bay monthly P&amp;L and cash'!J22)</f>
        <v>3000</v>
      </c>
      <c r="K21" s="11">
        <f>SUM('Harbor Bay monthly P&amp;L and cash'!K22)</f>
        <v>3000</v>
      </c>
      <c r="L21" s="11">
        <f>SUM('Harbor Bay monthly P&amp;L and cash'!L22)</f>
        <v>3000</v>
      </c>
      <c r="M21" s="11">
        <f>SUM('Harbor Bay monthly P&amp;L and cash'!M22)</f>
        <v>3000</v>
      </c>
      <c r="N21" s="11">
        <f>SUM('Harbor Bay monthly P&amp;L and cash'!N22)</f>
        <v>3000</v>
      </c>
      <c r="O21" s="11">
        <f>SUM('Harbor Bay monthly P&amp;L and cash'!O22)</f>
        <v>3000</v>
      </c>
      <c r="P21" s="11">
        <f>SUM('Harbor Bay monthly P&amp;L and cash'!P22)</f>
        <v>3000</v>
      </c>
    </row>
    <row r="22" outlineLevel="1">
      <c r="A22" t="inlineStr" s="13">
        <is>
          <t xml:space="preserve">Harbor Bay</t>
        </is>
      </c>
      <c r="B22" s="10">
        <f>IF('Harbor Bay assumptions'!B11="","",'Harbor Bay assumptions'!B11)</f>
        <v>3000</v>
      </c>
      <c r="C22" s="10">
        <f>IF('Harbor Bay assumptions'!B11="","",'Harbor Bay assumptions'!B11)</f>
        <v>3000</v>
      </c>
      <c r="D22" s="10">
        <f>IF('Harbor Bay assumptions'!B11="","",'Harbor Bay assumptions'!B11)</f>
        <v>3000</v>
      </c>
      <c r="E22" s="10">
        <f>IF('Harbor Bay assumptions'!B11="","",'Harbor Bay assumptions'!B11)</f>
        <v>3000</v>
      </c>
      <c r="F22" s="10">
        <f>IF('Harbor Bay assumptions'!B11="","",'Harbor Bay assumptions'!B11)</f>
        <v>3000</v>
      </c>
      <c r="G22" s="10">
        <f>IF('Harbor Bay assumptions'!B11="","",'Harbor Bay assumptions'!B11)</f>
        <v>3000</v>
      </c>
      <c r="H22" s="10">
        <f>IF('Harbor Bay assumptions'!B11="","",'Harbor Bay assumptions'!B11)</f>
        <v>3000</v>
      </c>
      <c r="I22" s="10">
        <f>IF('Harbor Bay assumptions'!B11="","",'Harbor Bay assumptions'!B11)</f>
        <v>3000</v>
      </c>
      <c r="J22" s="10">
        <f>IF('Harbor Bay assumptions'!B11="","",'Harbor Bay assumptions'!B11)</f>
        <v>3000</v>
      </c>
      <c r="K22" s="10">
        <f>IF('Harbor Bay assumptions'!B11="","",'Harbor Bay assumptions'!B11)</f>
        <v>3000</v>
      </c>
      <c r="L22" s="10">
        <f>IF('Harbor Bay assumptions'!B11="","",'Harbor Bay assumptions'!B11)</f>
        <v>3000</v>
      </c>
      <c r="M22" s="10">
        <f>IF('Harbor Bay assumptions'!B11="","",'Harbor Bay assumptions'!B11)</f>
        <v>3000</v>
      </c>
      <c r="N22" s="10">
        <f>IF('Harbor Bay assumptions'!B11="","",'Harbor Bay assumptions'!B11)</f>
        <v>3000</v>
      </c>
      <c r="O22" s="10">
        <f>IF('Harbor Bay assumptions'!B11="","",'Harbor Bay assumptions'!B11)</f>
        <v>3000</v>
      </c>
      <c r="P22" s="10">
        <f>IF('Harbor Bay assumptions'!B11="","",'Harbor Bay assumptions'!B11)</f>
        <v>3000</v>
      </c>
    </row>
    <row r="23">
      <c r="A23" t="inlineStr" s="5">
        <is>
          <t xml:space="preserve">Infrastructure expense</t>
        </is>
      </c>
      <c r="B23" s="11">
        <f>IF('Harbor Bay assumptions'!B12="","",'Harbor Bay assumptions'!B12)</f>
        <v>500</v>
      </c>
      <c r="C23" s="11">
        <f>IF('Harbor Bay assumptions'!B12="","",'Harbor Bay assumptions'!B12)</f>
        <v>500</v>
      </c>
      <c r="D23" s="11">
        <f>IF('Harbor Bay assumptions'!B12="","",'Harbor Bay assumptions'!B12)</f>
        <v>500</v>
      </c>
      <c r="E23" s="11">
        <f>IF('Harbor Bay assumptions'!B12="","",'Harbor Bay assumptions'!B12)</f>
        <v>500</v>
      </c>
      <c r="F23" s="11">
        <f>IF('Harbor Bay assumptions'!B12="","",'Harbor Bay assumptions'!B12)</f>
        <v>500</v>
      </c>
      <c r="G23" s="11">
        <f>IF('Harbor Bay assumptions'!B12="","",'Harbor Bay assumptions'!B12)</f>
        <v>500</v>
      </c>
      <c r="H23" s="11">
        <f>IF('Harbor Bay assumptions'!B12="","",'Harbor Bay assumptions'!B12)</f>
        <v>500</v>
      </c>
      <c r="I23" s="11">
        <f>IF('Harbor Bay assumptions'!B12="","",'Harbor Bay assumptions'!B12)</f>
        <v>500</v>
      </c>
      <c r="J23" s="11">
        <f>IF('Harbor Bay assumptions'!B12="","",'Harbor Bay assumptions'!B12)</f>
        <v>500</v>
      </c>
      <c r="K23" s="11">
        <f>IF('Harbor Bay assumptions'!B12="","",'Harbor Bay assumptions'!B12)</f>
        <v>500</v>
      </c>
      <c r="L23" s="11">
        <f>IF('Harbor Bay assumptions'!B12="","",'Harbor Bay assumptions'!B12)</f>
        <v>500</v>
      </c>
      <c r="M23" s="11">
        <f>IF('Harbor Bay assumptions'!B12="","",'Harbor Bay assumptions'!B12)</f>
        <v>500</v>
      </c>
      <c r="N23" s="11">
        <f>IF('Harbor Bay assumptions'!B12="","",'Harbor Bay assumptions'!B12)</f>
        <v>500</v>
      </c>
      <c r="O23" s="11">
        <f>IF('Harbor Bay assumptions'!B12="","",'Harbor Bay assumptions'!B12)</f>
        <v>500</v>
      </c>
      <c r="P23" s="11">
        <f>IF('Harbor Bay assumptions'!B12="","",'Harbor Bay assumptions'!B12)</f>
        <v>500</v>
      </c>
    </row>
    <row r="24" outlineLevel="1">
      <c r="A24" t="inlineStr" s="13">
        <is>
          <t xml:space="preserve">Harbor Bay</t>
        </is>
      </c>
      <c r="B24" s="10">
        <f>IF('Harbor Bay assumptions'!B12="","",'Harbor Bay assumptions'!B12)</f>
        <v>500</v>
      </c>
      <c r="C24" s="10">
        <f>IF('Harbor Bay assumptions'!B12="","",'Harbor Bay assumptions'!B12)</f>
        <v>500</v>
      </c>
      <c r="D24" s="10">
        <f>IF('Harbor Bay assumptions'!B12="","",'Harbor Bay assumptions'!B12)</f>
        <v>500</v>
      </c>
      <c r="E24" s="10">
        <f>IF('Harbor Bay assumptions'!B12="","",'Harbor Bay assumptions'!B12)</f>
        <v>500</v>
      </c>
      <c r="F24" s="10">
        <f>IF('Harbor Bay assumptions'!B12="","",'Harbor Bay assumptions'!B12)</f>
        <v>500</v>
      </c>
      <c r="G24" s="10">
        <f>IF('Harbor Bay assumptions'!B12="","",'Harbor Bay assumptions'!B12)</f>
        <v>500</v>
      </c>
      <c r="H24" s="10">
        <f>IF('Harbor Bay assumptions'!B12="","",'Harbor Bay assumptions'!B12)</f>
        <v>500</v>
      </c>
      <c r="I24" s="10">
        <f>IF('Harbor Bay assumptions'!B12="","",'Harbor Bay assumptions'!B12)</f>
        <v>500</v>
      </c>
      <c r="J24" s="10">
        <f>IF('Harbor Bay assumptions'!B12="","",'Harbor Bay assumptions'!B12)</f>
        <v>500</v>
      </c>
      <c r="K24" s="10">
        <f>IF('Harbor Bay assumptions'!B12="","",'Harbor Bay assumptions'!B12)</f>
        <v>500</v>
      </c>
      <c r="L24" s="10">
        <f>IF('Harbor Bay assumptions'!B12="","",'Harbor Bay assumptions'!B12)</f>
        <v>500</v>
      </c>
      <c r="M24" s="10">
        <f>IF('Harbor Bay assumptions'!B12="","",'Harbor Bay assumptions'!B12)</f>
        <v>500</v>
      </c>
      <c r="N24" s="10">
        <f>IF('Harbor Bay assumptions'!B12="","",'Harbor Bay assumptions'!B12)</f>
        <v>500</v>
      </c>
      <c r="O24" s="10">
        <f>IF('Harbor Bay assumptions'!B12="","",'Harbor Bay assumptions'!B12)</f>
        <v>500</v>
      </c>
      <c r="P24" s="10">
        <f>IF('Harbor Bay assumptions'!B12="","",'Harbor Bay assumptions'!B12)</f>
        <v>500</v>
      </c>
    </row>
    <row r="25">
      <c r="A25" t="inlineStr" s="5">
        <is>
          <t xml:space="preserve">Contribution</t>
        </is>
      </c>
      <c r="B25" s="11">
        <f>IF('Harbor Bay monthly P&amp;L and cash'!B23="","",'Harbor Bay monthly P&amp;L and cash'!B15-'Harbor Bay monthly P&amp;L and cash'!B19-'Harbor Bay monthly P&amp;L and cash'!B21-'Harbor Bay monthly P&amp;L and cash'!B23)</f>
        <v>19281.371280724445</v>
      </c>
      <c r="C25" s="11">
        <f>IF('Harbor Bay monthly P&amp;L and cash'!C23="","",'Harbor Bay monthly P&amp;L and cash'!C15-'Harbor Bay monthly P&amp;L and cash'!C19-'Harbor Bay monthly P&amp;L and cash'!C21-'Harbor Bay monthly P&amp;L and cash'!C23)</f>
        <v>19281.371280724445</v>
      </c>
      <c r="D25" s="11">
        <f>IF('Harbor Bay monthly P&amp;L and cash'!D23="","",'Harbor Bay monthly P&amp;L and cash'!D15-'Harbor Bay monthly P&amp;L and cash'!D19-'Harbor Bay monthly P&amp;L and cash'!D21-'Harbor Bay monthly P&amp;L and cash'!D23)</f>
        <v>19281.371280724445</v>
      </c>
      <c r="E25" s="11">
        <f>IF('Harbor Bay monthly P&amp;L and cash'!E23="","",'Harbor Bay monthly P&amp;L and cash'!E15-'Harbor Bay monthly P&amp;L and cash'!E19-'Harbor Bay monthly P&amp;L and cash'!E21-'Harbor Bay monthly P&amp;L and cash'!E23)</f>
        <v>19281.371280724445</v>
      </c>
      <c r="F25" s="11">
        <f>IF('Harbor Bay monthly P&amp;L and cash'!F23="","",'Harbor Bay monthly P&amp;L and cash'!F15-'Harbor Bay monthly P&amp;L and cash'!F19-'Harbor Bay monthly P&amp;L and cash'!F21-'Harbor Bay monthly P&amp;L and cash'!F23)</f>
        <v>19281.371280724445</v>
      </c>
      <c r="G25" s="11">
        <f>IF('Harbor Bay monthly P&amp;L and cash'!G23="","",'Harbor Bay monthly P&amp;L and cash'!G15-'Harbor Bay monthly P&amp;L and cash'!G19-'Harbor Bay monthly P&amp;L and cash'!G21-'Harbor Bay monthly P&amp;L and cash'!G23)</f>
        <v>19281.371280724445</v>
      </c>
      <c r="H25" s="11">
        <f>IF('Harbor Bay monthly P&amp;L and cash'!H23="","",'Harbor Bay monthly P&amp;L and cash'!H15-'Harbor Bay monthly P&amp;L and cash'!H19-'Harbor Bay monthly P&amp;L and cash'!H21-'Harbor Bay monthly P&amp;L and cash'!H23)</f>
        <v>19281.371280724445</v>
      </c>
      <c r="I25" s="11">
        <f>IF('Harbor Bay monthly P&amp;L and cash'!I23="","",'Harbor Bay monthly P&amp;L and cash'!I15-'Harbor Bay monthly P&amp;L and cash'!I19-'Harbor Bay monthly P&amp;L and cash'!I21-'Harbor Bay monthly P&amp;L and cash'!I23)</f>
        <v>19281.371280724445</v>
      </c>
      <c r="J25" s="11">
        <f>IF('Harbor Bay monthly P&amp;L and cash'!J23="","",'Harbor Bay monthly P&amp;L and cash'!J15-'Harbor Bay monthly P&amp;L and cash'!J19-'Harbor Bay monthly P&amp;L and cash'!J21-'Harbor Bay monthly P&amp;L and cash'!J23)</f>
        <v>19281.371280724445</v>
      </c>
      <c r="K25" s="11">
        <f>IF('Harbor Bay monthly P&amp;L and cash'!K23="","",'Harbor Bay monthly P&amp;L and cash'!K15-'Harbor Bay monthly P&amp;L and cash'!K19-'Harbor Bay monthly P&amp;L and cash'!K21-'Harbor Bay monthly P&amp;L and cash'!K23)</f>
        <v>19281.371280724445</v>
      </c>
      <c r="L25" s="11">
        <f>IF('Harbor Bay monthly P&amp;L and cash'!L23="","",'Harbor Bay monthly P&amp;L and cash'!L15-'Harbor Bay monthly P&amp;L and cash'!L19-'Harbor Bay monthly P&amp;L and cash'!L21-'Harbor Bay monthly P&amp;L and cash'!L23)</f>
        <v>19281.371280724445</v>
      </c>
      <c r="M25" s="11">
        <f>IF('Harbor Bay monthly P&amp;L and cash'!M23="","",'Harbor Bay monthly P&amp;L and cash'!M15-'Harbor Bay monthly P&amp;L and cash'!M19-'Harbor Bay monthly P&amp;L and cash'!M21-'Harbor Bay monthly P&amp;L and cash'!M23)</f>
        <v>19281.371280724445</v>
      </c>
      <c r="N25" s="11">
        <f>IF('Harbor Bay monthly P&amp;L and cash'!N23="","",'Harbor Bay monthly P&amp;L and cash'!N15-'Harbor Bay monthly P&amp;L and cash'!N19-'Harbor Bay monthly P&amp;L and cash'!N21-'Harbor Bay monthly P&amp;L and cash'!N23)</f>
        <v>19281.371280724445</v>
      </c>
      <c r="O25" s="11">
        <f>IF('Harbor Bay monthly P&amp;L and cash'!O23="","",'Harbor Bay monthly P&amp;L and cash'!O15-'Harbor Bay monthly P&amp;L and cash'!O19-'Harbor Bay monthly P&amp;L and cash'!O21-'Harbor Bay monthly P&amp;L and cash'!O23)</f>
        <v>19281.371280724445</v>
      </c>
      <c r="P25" s="11">
        <f>IF('Harbor Bay monthly P&amp;L and cash'!P23="","",'Harbor Bay monthly P&amp;L and cash'!P15-'Harbor Bay monthly P&amp;L and cash'!P19-'Harbor Bay monthly P&amp;L and cash'!P21-'Harbor Bay monthly P&amp;L and cash'!P23)</f>
        <v>19281.371280724445</v>
      </c>
    </row>
    <row r="26" outlineLevel="1">
      <c r="A26" t="inlineStr" s="13">
        <is>
          <t xml:space="preserve">Harbor Bay</t>
        </is>
      </c>
      <c r="B26" s="10">
        <f>IF('Harbor Bay monthly P&amp;L and cash'!B24="","",'Harbor Bay monthly P&amp;L and cash'!B16-'Harbor Bay monthly P&amp;L and cash'!B20-'Harbor Bay monthly P&amp;L and cash'!B22-'Harbor Bay monthly P&amp;L and cash'!B24)</f>
        <v>19281.371280724445</v>
      </c>
      <c r="C26" s="10">
        <f>IF('Harbor Bay monthly P&amp;L and cash'!C24="","",'Harbor Bay monthly P&amp;L and cash'!C16-'Harbor Bay monthly P&amp;L and cash'!C20-'Harbor Bay monthly P&amp;L and cash'!C22-'Harbor Bay monthly P&amp;L and cash'!C24)</f>
        <v>19281.371280724445</v>
      </c>
      <c r="D26" s="10">
        <f>IF('Harbor Bay monthly P&amp;L and cash'!D24="","",'Harbor Bay monthly P&amp;L and cash'!D16-'Harbor Bay monthly P&amp;L and cash'!D20-'Harbor Bay monthly P&amp;L and cash'!D22-'Harbor Bay monthly P&amp;L and cash'!D24)</f>
        <v>19281.371280724445</v>
      </c>
      <c r="E26" s="10">
        <f>IF('Harbor Bay monthly P&amp;L and cash'!E24="","",'Harbor Bay monthly P&amp;L and cash'!E16-'Harbor Bay monthly P&amp;L and cash'!E20-'Harbor Bay monthly P&amp;L and cash'!E22-'Harbor Bay monthly P&amp;L and cash'!E24)</f>
        <v>19281.371280724445</v>
      </c>
      <c r="F26" s="10">
        <f>IF('Harbor Bay monthly P&amp;L and cash'!F24="","",'Harbor Bay monthly P&amp;L and cash'!F16-'Harbor Bay monthly P&amp;L and cash'!F20-'Harbor Bay monthly P&amp;L and cash'!F22-'Harbor Bay monthly P&amp;L and cash'!F24)</f>
        <v>19281.371280724445</v>
      </c>
      <c r="G26" s="10">
        <f>IF('Harbor Bay monthly P&amp;L and cash'!G24="","",'Harbor Bay monthly P&amp;L and cash'!G16-'Harbor Bay monthly P&amp;L and cash'!G20-'Harbor Bay monthly P&amp;L and cash'!G22-'Harbor Bay monthly P&amp;L and cash'!G24)</f>
        <v>19281.371280724445</v>
      </c>
      <c r="H26" s="10">
        <f>IF('Harbor Bay monthly P&amp;L and cash'!H24="","",'Harbor Bay monthly P&amp;L and cash'!H16-'Harbor Bay monthly P&amp;L and cash'!H20-'Harbor Bay monthly P&amp;L and cash'!H22-'Harbor Bay monthly P&amp;L and cash'!H24)</f>
        <v>19281.371280724445</v>
      </c>
      <c r="I26" s="10">
        <f>IF('Harbor Bay monthly P&amp;L and cash'!I24="","",'Harbor Bay monthly P&amp;L and cash'!I16-'Harbor Bay monthly P&amp;L and cash'!I20-'Harbor Bay monthly P&amp;L and cash'!I22-'Harbor Bay monthly P&amp;L and cash'!I24)</f>
        <v>19281.371280724445</v>
      </c>
      <c r="J26" s="10">
        <f>IF('Harbor Bay monthly P&amp;L and cash'!J24="","",'Harbor Bay monthly P&amp;L and cash'!J16-'Harbor Bay monthly P&amp;L and cash'!J20-'Harbor Bay monthly P&amp;L and cash'!J22-'Harbor Bay monthly P&amp;L and cash'!J24)</f>
        <v>19281.371280724445</v>
      </c>
      <c r="K26" s="10">
        <f>IF('Harbor Bay monthly P&amp;L and cash'!K24="","",'Harbor Bay monthly P&amp;L and cash'!K16-'Harbor Bay monthly P&amp;L and cash'!K20-'Harbor Bay monthly P&amp;L and cash'!K22-'Harbor Bay monthly P&amp;L and cash'!K24)</f>
        <v>19281.371280724445</v>
      </c>
      <c r="L26" s="10">
        <f>IF('Harbor Bay monthly P&amp;L and cash'!L24="","",'Harbor Bay monthly P&amp;L and cash'!L16-'Harbor Bay monthly P&amp;L and cash'!L20-'Harbor Bay monthly P&amp;L and cash'!L22-'Harbor Bay monthly P&amp;L and cash'!L24)</f>
        <v>19281.371280724445</v>
      </c>
      <c r="M26" s="10">
        <f>IF('Harbor Bay monthly P&amp;L and cash'!M24="","",'Harbor Bay monthly P&amp;L and cash'!M16-'Harbor Bay monthly P&amp;L and cash'!M20-'Harbor Bay monthly P&amp;L and cash'!M22-'Harbor Bay monthly P&amp;L and cash'!M24)</f>
        <v>19281.371280724445</v>
      </c>
      <c r="N26" s="10">
        <f>IF('Harbor Bay monthly P&amp;L and cash'!N24="","",'Harbor Bay monthly P&amp;L and cash'!N16-'Harbor Bay monthly P&amp;L and cash'!N20-'Harbor Bay monthly P&amp;L and cash'!N22-'Harbor Bay monthly P&amp;L and cash'!N24)</f>
        <v>19281.371280724445</v>
      </c>
      <c r="O26" s="10">
        <f>IF('Harbor Bay monthly P&amp;L and cash'!O24="","",'Harbor Bay monthly P&amp;L and cash'!O16-'Harbor Bay monthly P&amp;L and cash'!O20-'Harbor Bay monthly P&amp;L and cash'!O22-'Harbor Bay monthly P&amp;L and cash'!O24)</f>
        <v>19281.371280724445</v>
      </c>
      <c r="P26" s="10">
        <f>IF('Harbor Bay monthly P&amp;L and cash'!P24="","",'Harbor Bay monthly P&amp;L and cash'!P16-'Harbor Bay monthly P&amp;L and cash'!P20-'Harbor Bay monthly P&amp;L and cash'!P22-'Harbor Bay monthly P&amp;L and cash'!P24)</f>
        <v>19281.371280724445</v>
      </c>
    </row>
    <row r="27">
      <c r="A27" t="inlineStr" s="5">
        <is>
          <t xml:space="preserve">Contribution margin</t>
        </is>
      </c>
      <c r="B27" s="15">
        <f>IF('Harbor Bay monthly P&amp;L and cash'!B25="","",IFERROR('Harbor Bay monthly P&amp;L and cash'!B25/'Harbor Bay monthly P&amp;L and cash'!B9,""))</f>
        <v>0.18147172970093595</v>
      </c>
      <c r="C27" s="15">
        <f>IF('Harbor Bay monthly P&amp;L and cash'!C25="","",IFERROR('Harbor Bay monthly P&amp;L and cash'!C25/'Harbor Bay monthly P&amp;L and cash'!C9,""))</f>
        <v>0.18147172970093595</v>
      </c>
      <c r="D27" s="15">
        <f>IF('Harbor Bay monthly P&amp;L and cash'!D25="","",IFERROR('Harbor Bay monthly P&amp;L and cash'!D25/'Harbor Bay monthly P&amp;L and cash'!D9,""))</f>
        <v>0.18147172970093595</v>
      </c>
      <c r="E27" s="15">
        <f>IF('Harbor Bay monthly P&amp;L and cash'!E25="","",IFERROR('Harbor Bay monthly P&amp;L and cash'!E25/'Harbor Bay monthly P&amp;L and cash'!E9,""))</f>
        <v>0.18147172970093595</v>
      </c>
      <c r="F27" s="15">
        <f>IF('Harbor Bay monthly P&amp;L and cash'!F25="","",IFERROR('Harbor Bay monthly P&amp;L and cash'!F25/'Harbor Bay monthly P&amp;L and cash'!F9,""))</f>
        <v>0.18147172970093595</v>
      </c>
      <c r="G27" s="15">
        <f>IF('Harbor Bay monthly P&amp;L and cash'!G25="","",IFERROR('Harbor Bay monthly P&amp;L and cash'!G25/'Harbor Bay monthly P&amp;L and cash'!G9,""))</f>
        <v>0.18147172970093595</v>
      </c>
      <c r="H27" s="15">
        <f>IF('Harbor Bay monthly P&amp;L and cash'!H25="","",IFERROR('Harbor Bay monthly P&amp;L and cash'!H25/'Harbor Bay monthly P&amp;L and cash'!H9,""))</f>
        <v>0.18147172970093595</v>
      </c>
      <c r="I27" s="15">
        <f>IF('Harbor Bay monthly P&amp;L and cash'!I25="","",IFERROR('Harbor Bay monthly P&amp;L and cash'!I25/'Harbor Bay monthly P&amp;L and cash'!I9,""))</f>
        <v>0.18147172970093595</v>
      </c>
      <c r="J27" s="15">
        <f>IF('Harbor Bay monthly P&amp;L and cash'!J25="","",IFERROR('Harbor Bay monthly P&amp;L and cash'!J25/'Harbor Bay monthly P&amp;L and cash'!J9,""))</f>
        <v>0.18147172970093595</v>
      </c>
      <c r="K27" s="15">
        <f>IF('Harbor Bay monthly P&amp;L and cash'!K25="","",IFERROR('Harbor Bay monthly P&amp;L and cash'!K25/'Harbor Bay monthly P&amp;L and cash'!K9,""))</f>
        <v>0.18147172970093595</v>
      </c>
      <c r="L27" s="15">
        <f>IF('Harbor Bay monthly P&amp;L and cash'!L25="","",IFERROR('Harbor Bay monthly P&amp;L and cash'!L25/'Harbor Bay monthly P&amp;L and cash'!L9,""))</f>
        <v>0.18147172970093595</v>
      </c>
      <c r="M27" s="15">
        <f>IF('Harbor Bay monthly P&amp;L and cash'!M25="","",IFERROR('Harbor Bay monthly P&amp;L and cash'!M25/'Harbor Bay monthly P&amp;L and cash'!M9,""))</f>
        <v>0.18147172970093595</v>
      </c>
      <c r="N27" s="15">
        <f>IF('Harbor Bay monthly P&amp;L and cash'!N25="","",IFERROR('Harbor Bay monthly P&amp;L and cash'!N25/'Harbor Bay monthly P&amp;L and cash'!N9,""))</f>
        <v>0.18147172970093595</v>
      </c>
      <c r="O27" s="15">
        <f>IF('Harbor Bay monthly P&amp;L and cash'!O25="","",IFERROR('Harbor Bay monthly P&amp;L and cash'!O25/'Harbor Bay monthly P&amp;L and cash'!O9,""))</f>
        <v>0.18147172970093595</v>
      </c>
      <c r="P27" s="15">
        <f>IF('Harbor Bay monthly P&amp;L and cash'!P25="","",IFERROR('Harbor Bay monthly P&amp;L and cash'!P25/'Harbor Bay monthly P&amp;L and cash'!P9,""))</f>
        <v>0.18147172970093595</v>
      </c>
    </row>
    <row r="28" outlineLevel="1">
      <c r="A28" t="inlineStr" s="13">
        <is>
          <t xml:space="preserve">Harbor Bay</t>
        </is>
      </c>
      <c r="B28" s="16">
        <f>IF('Harbor Bay monthly P&amp;L and cash'!B26="","",IFERROR('Harbor Bay monthly P&amp;L and cash'!B26/'Harbor Bay monthly P&amp;L and cash'!B10,""))</f>
        <v>0.18147172970093595</v>
      </c>
      <c r="C28" s="16">
        <f>IF('Harbor Bay monthly P&amp;L and cash'!C26="","",IFERROR('Harbor Bay monthly P&amp;L and cash'!C26/'Harbor Bay monthly P&amp;L and cash'!C10,""))</f>
        <v>0.18147172970093595</v>
      </c>
      <c r="D28" s="16">
        <f>IF('Harbor Bay monthly P&amp;L and cash'!D26="","",IFERROR('Harbor Bay monthly P&amp;L and cash'!D26/'Harbor Bay monthly P&amp;L and cash'!D10,""))</f>
        <v>0.18147172970093595</v>
      </c>
      <c r="E28" s="16">
        <f>IF('Harbor Bay monthly P&amp;L and cash'!E26="","",IFERROR('Harbor Bay monthly P&amp;L and cash'!E26/'Harbor Bay monthly P&amp;L and cash'!E10,""))</f>
        <v>0.18147172970093595</v>
      </c>
      <c r="F28" s="16">
        <f>IF('Harbor Bay monthly P&amp;L and cash'!F26="","",IFERROR('Harbor Bay monthly P&amp;L and cash'!F26/'Harbor Bay monthly P&amp;L and cash'!F10,""))</f>
        <v>0.18147172970093595</v>
      </c>
      <c r="G28" s="16">
        <f>IF('Harbor Bay monthly P&amp;L and cash'!G26="","",IFERROR('Harbor Bay monthly P&amp;L and cash'!G26/'Harbor Bay monthly P&amp;L and cash'!G10,""))</f>
        <v>0.18147172970093595</v>
      </c>
      <c r="H28" s="16">
        <f>IF('Harbor Bay monthly P&amp;L and cash'!H26="","",IFERROR('Harbor Bay monthly P&amp;L and cash'!H26/'Harbor Bay monthly P&amp;L and cash'!H10,""))</f>
        <v>0.18147172970093595</v>
      </c>
      <c r="I28" s="16">
        <f>IF('Harbor Bay monthly P&amp;L and cash'!I26="","",IFERROR('Harbor Bay monthly P&amp;L and cash'!I26/'Harbor Bay monthly P&amp;L and cash'!I10,""))</f>
        <v>0.18147172970093595</v>
      </c>
      <c r="J28" s="16">
        <f>IF('Harbor Bay monthly P&amp;L and cash'!J26="","",IFERROR('Harbor Bay monthly P&amp;L and cash'!J26/'Harbor Bay monthly P&amp;L and cash'!J10,""))</f>
        <v>0.18147172970093595</v>
      </c>
      <c r="K28" s="16">
        <f>IF('Harbor Bay monthly P&amp;L and cash'!K26="","",IFERROR('Harbor Bay monthly P&amp;L and cash'!K26/'Harbor Bay monthly P&amp;L and cash'!K10,""))</f>
        <v>0.18147172970093595</v>
      </c>
      <c r="L28" s="16">
        <f>IF('Harbor Bay monthly P&amp;L and cash'!L26="","",IFERROR('Harbor Bay monthly P&amp;L and cash'!L26/'Harbor Bay monthly P&amp;L and cash'!L10,""))</f>
        <v>0.18147172970093595</v>
      </c>
      <c r="M28" s="16">
        <f>IF('Harbor Bay monthly P&amp;L and cash'!M26="","",IFERROR('Harbor Bay monthly P&amp;L and cash'!M26/'Harbor Bay monthly P&amp;L and cash'!M10,""))</f>
        <v>0.18147172970093595</v>
      </c>
      <c r="N28" s="16">
        <f>IF('Harbor Bay monthly P&amp;L and cash'!N26="","",IFERROR('Harbor Bay monthly P&amp;L and cash'!N26/'Harbor Bay monthly P&amp;L and cash'!N10,""))</f>
        <v>0.18147172970093595</v>
      </c>
      <c r="O28" s="16">
        <f>IF('Harbor Bay monthly P&amp;L and cash'!O26="","",IFERROR('Harbor Bay monthly P&amp;L and cash'!O26/'Harbor Bay monthly P&amp;L and cash'!O10,""))</f>
        <v>0.18147172970093595</v>
      </c>
      <c r="P28" s="16">
        <f>IF('Harbor Bay monthly P&amp;L and cash'!P26="","",IFERROR('Harbor Bay monthly P&amp;L and cash'!P26/'Harbor Bay monthly P&amp;L and cash'!P10,""))</f>
        <v>0.18147172970093595</v>
      </c>
    </row>
    <row r="29">
      <c r="A29" t="inlineStr" s="5">
        <is>
          <t xml:space="preserve">Campaign ROI (proxy, not causal)</t>
        </is>
      </c>
      <c r="B29" s="17">
        <f>IFERROR(('Harbor Bay monthly P&amp;L and cash'!B15-'Harbor Bay monthly P&amp;L and cash'!B19)/'Harbor Bay monthly P&amp;L and cash'!B19,"")</f>
        <v>1.5187580853816296</v>
      </c>
      <c r="C29" s="17">
        <f>IFERROR(('Harbor Bay monthly P&amp;L and cash'!C15-'Harbor Bay monthly P&amp;L and cash'!C19)/'Harbor Bay monthly P&amp;L and cash'!C19,"")</f>
        <v>1.5187580853816296</v>
      </c>
      <c r="D29" s="17">
        <f>IFERROR(('Harbor Bay monthly P&amp;L and cash'!D15-'Harbor Bay monthly P&amp;L and cash'!D19)/'Harbor Bay monthly P&amp;L and cash'!D19,"")</f>
        <v>1.5187580853816296</v>
      </c>
      <c r="E29" s="17">
        <f>IFERROR(('Harbor Bay monthly P&amp;L and cash'!E15-'Harbor Bay monthly P&amp;L and cash'!E19)/'Harbor Bay monthly P&amp;L and cash'!E19,"")</f>
        <v>1.5187580853816296</v>
      </c>
      <c r="F29" s="17">
        <f>IFERROR(('Harbor Bay monthly P&amp;L and cash'!F15-'Harbor Bay monthly P&amp;L and cash'!F19)/'Harbor Bay monthly P&amp;L and cash'!F19,"")</f>
        <v>1.5187580853816296</v>
      </c>
      <c r="G29" s="17">
        <f>IFERROR(('Harbor Bay monthly P&amp;L and cash'!G15-'Harbor Bay monthly P&amp;L and cash'!G19)/'Harbor Bay monthly P&amp;L and cash'!G19,"")</f>
        <v>1.5187580853816296</v>
      </c>
      <c r="H29" s="17">
        <f>IFERROR(('Harbor Bay monthly P&amp;L and cash'!H15-'Harbor Bay monthly P&amp;L and cash'!H19)/'Harbor Bay monthly P&amp;L and cash'!H19,"")</f>
        <v>1.5187580853816296</v>
      </c>
      <c r="I29" s="17">
        <f>IFERROR(('Harbor Bay monthly P&amp;L and cash'!I15-'Harbor Bay monthly P&amp;L and cash'!I19)/'Harbor Bay monthly P&amp;L and cash'!I19,"")</f>
        <v>1.5187580853816296</v>
      </c>
      <c r="J29" s="17">
        <f>IFERROR(('Harbor Bay monthly P&amp;L and cash'!J15-'Harbor Bay monthly P&amp;L and cash'!J19)/'Harbor Bay monthly P&amp;L and cash'!J19,"")</f>
        <v>1.5187580853816296</v>
      </c>
      <c r="K29" s="17">
        <f>IFERROR(('Harbor Bay monthly P&amp;L and cash'!K15-'Harbor Bay monthly P&amp;L and cash'!K19)/'Harbor Bay monthly P&amp;L and cash'!K19,"")</f>
        <v>1.5187580853816296</v>
      </c>
      <c r="L29" s="17">
        <f>IFERROR(('Harbor Bay monthly P&amp;L and cash'!L15-'Harbor Bay monthly P&amp;L and cash'!L19)/'Harbor Bay monthly P&amp;L and cash'!L19,"")</f>
        <v>1.5187580853816296</v>
      </c>
      <c r="M29" s="17">
        <f>IFERROR(('Harbor Bay monthly P&amp;L and cash'!M15-'Harbor Bay monthly P&amp;L and cash'!M19)/'Harbor Bay monthly P&amp;L and cash'!M19,"")</f>
        <v>1.5187580853816296</v>
      </c>
      <c r="N29" s="17">
        <f>IFERROR(('Harbor Bay monthly P&amp;L and cash'!N15-'Harbor Bay monthly P&amp;L and cash'!N19)/'Harbor Bay monthly P&amp;L and cash'!N19,"")</f>
        <v>1.5187580853816296</v>
      </c>
      <c r="O29" s="17">
        <f>IFERROR(('Harbor Bay monthly P&amp;L and cash'!O15-'Harbor Bay monthly P&amp;L and cash'!O19)/'Harbor Bay monthly P&amp;L and cash'!O19,"")</f>
        <v>1.5187580853816296</v>
      </c>
      <c r="P29" s="17">
        <f>IFERROR(('Harbor Bay monthly P&amp;L and cash'!P15-'Harbor Bay monthly P&amp;L and cash'!P19)/'Harbor Bay monthly P&amp;L and cash'!P19,"")</f>
        <v>1.5187580853816296</v>
      </c>
    </row>
    <row r="30" outlineLevel="1">
      <c r="A30" t="inlineStr" s="13">
        <is>
          <t xml:space="preserve">Harbor Bay</t>
        </is>
      </c>
      <c r="B30" s="18">
        <f>IFERROR(('Harbor Bay monthly P&amp;L and cash'!B16-'Harbor Bay monthly P&amp;L and cash'!B20)/'Harbor Bay monthly P&amp;L and cash'!B20,"")</f>
        <v>1.5187580853816296</v>
      </c>
      <c r="C30" s="18">
        <f>IFERROR(('Harbor Bay monthly P&amp;L and cash'!C16-'Harbor Bay monthly P&amp;L and cash'!C20)/'Harbor Bay monthly P&amp;L and cash'!C20,"")</f>
        <v>1.5187580853816296</v>
      </c>
      <c r="D30" s="18">
        <f>IFERROR(('Harbor Bay monthly P&amp;L and cash'!D16-'Harbor Bay monthly P&amp;L and cash'!D20)/'Harbor Bay monthly P&amp;L and cash'!D20,"")</f>
        <v>1.5187580853816296</v>
      </c>
      <c r="E30" s="18">
        <f>IFERROR(('Harbor Bay monthly P&amp;L and cash'!E16-'Harbor Bay monthly P&amp;L and cash'!E20)/'Harbor Bay monthly P&amp;L and cash'!E20,"")</f>
        <v>1.5187580853816296</v>
      </c>
      <c r="F30" s="18">
        <f>IFERROR(('Harbor Bay monthly P&amp;L and cash'!F16-'Harbor Bay monthly P&amp;L and cash'!F20)/'Harbor Bay monthly P&amp;L and cash'!F20,"")</f>
        <v>1.5187580853816296</v>
      </c>
      <c r="G30" s="18">
        <f>IFERROR(('Harbor Bay monthly P&amp;L and cash'!G16-'Harbor Bay monthly P&amp;L and cash'!G20)/'Harbor Bay monthly P&amp;L and cash'!G20,"")</f>
        <v>1.5187580853816296</v>
      </c>
      <c r="H30" s="18">
        <f>IFERROR(('Harbor Bay monthly P&amp;L and cash'!H16-'Harbor Bay monthly P&amp;L and cash'!H20)/'Harbor Bay monthly P&amp;L and cash'!H20,"")</f>
        <v>1.5187580853816296</v>
      </c>
      <c r="I30" s="18">
        <f>IFERROR(('Harbor Bay monthly P&amp;L and cash'!I16-'Harbor Bay monthly P&amp;L and cash'!I20)/'Harbor Bay monthly P&amp;L and cash'!I20,"")</f>
        <v>1.5187580853816296</v>
      </c>
      <c r="J30" s="18">
        <f>IFERROR(('Harbor Bay monthly P&amp;L and cash'!J16-'Harbor Bay monthly P&amp;L and cash'!J20)/'Harbor Bay monthly P&amp;L and cash'!J20,"")</f>
        <v>1.5187580853816296</v>
      </c>
      <c r="K30" s="18">
        <f>IFERROR(('Harbor Bay monthly P&amp;L and cash'!K16-'Harbor Bay monthly P&amp;L and cash'!K20)/'Harbor Bay monthly P&amp;L and cash'!K20,"")</f>
        <v>1.5187580853816296</v>
      </c>
      <c r="L30" s="18">
        <f>IFERROR(('Harbor Bay monthly P&amp;L and cash'!L16-'Harbor Bay monthly P&amp;L and cash'!L20)/'Harbor Bay monthly P&amp;L and cash'!L20,"")</f>
        <v>1.5187580853816296</v>
      </c>
      <c r="M30" s="18">
        <f>IFERROR(('Harbor Bay monthly P&amp;L and cash'!M16-'Harbor Bay monthly P&amp;L and cash'!M20)/'Harbor Bay monthly P&amp;L and cash'!M20,"")</f>
        <v>1.5187580853816296</v>
      </c>
      <c r="N30" s="18">
        <f>IFERROR(('Harbor Bay monthly P&amp;L and cash'!N16-'Harbor Bay monthly P&amp;L and cash'!N20)/'Harbor Bay monthly P&amp;L and cash'!N20,"")</f>
        <v>1.5187580853816296</v>
      </c>
      <c r="O30" s="18">
        <f>IFERROR(('Harbor Bay monthly P&amp;L and cash'!O16-'Harbor Bay monthly P&amp;L and cash'!O20)/'Harbor Bay monthly P&amp;L and cash'!O20,"")</f>
        <v>1.5187580853816296</v>
      </c>
      <c r="P30" s="18">
        <f>IFERROR(('Harbor Bay monthly P&amp;L and cash'!P16-'Harbor Bay monthly P&amp;L and cash'!P20)/'Harbor Bay monthly P&amp;L and cash'!P20,"")</f>
        <v>1.5187580853816296</v>
      </c>
    </row>
    <row r="31">
      <c r="A31" t="inlineStr" s="5">
        <is>
          <t xml:space="preserve">Cash balance</t>
        </is>
      </c>
      <c r="B31" s="11">
        <f>IF(IF(IF(IFERROR('Harbor Bay assumptions'!B13=""=TRUE,FALSE),TRUE,IF(IFERROR('Harbor Bay monthly P&amp;L and cash'!B25=""=TRUE,FALSE),TRUE,OR('Harbor Bay assumptions'!B13="",'Harbor Bay monthly P&amp;L and cash'!B25="")))="",FALSE,IF(IFERROR('Harbor Bay assumptions'!B13=""=TRUE,FALSE),TRUE,IF(IFERROR('Harbor Bay monthly P&amp;L and cash'!B25=""=TRUE,FALSE),TRUE,OR('Harbor Bay assumptions'!B13="",'Harbor Bay monthly P&amp;L and cash'!B25="")))),"",'Model inputs'!D16+'Harbor Bay monthly P&amp;L and cash'!B25)</f>
        <v>49281.371280724445</v>
      </c>
      <c r="C31" s="11">
        <f>IF(IF(IF(IFERROR('Harbor Bay assumptions'!B13=""=TRUE,FALSE),TRUE,IF(IFERROR('Harbor Bay monthly P&amp;L and cash'!C25=""=TRUE,FALSE),TRUE,OR('Harbor Bay assumptions'!B13="",'Harbor Bay monthly P&amp;L and cash'!C25="")))="",FALSE,IF(IFERROR('Harbor Bay assumptions'!B13=""=TRUE,FALSE),TRUE,IF(IFERROR('Harbor Bay monthly P&amp;L and cash'!C25=""=TRUE,FALSE),TRUE,OR('Harbor Bay assumptions'!B13="",'Harbor Bay monthly P&amp;L and cash'!C25="")))),"",'Harbor Bay monthly P&amp;L and cash'!B31+'Harbor Bay monthly P&amp;L and cash'!C25)</f>
        <v>68562.74256144889</v>
      </c>
      <c r="D31" s="11">
        <f>IF(IF(IF(IFERROR('Harbor Bay assumptions'!B13=""=TRUE,FALSE),TRUE,IF(IFERROR('Harbor Bay monthly P&amp;L and cash'!D25=""=TRUE,FALSE),TRUE,OR('Harbor Bay assumptions'!B13="",'Harbor Bay monthly P&amp;L and cash'!D25="")))="",FALSE,IF(IFERROR('Harbor Bay assumptions'!B13=""=TRUE,FALSE),TRUE,IF(IFERROR('Harbor Bay monthly P&amp;L and cash'!D25=""=TRUE,FALSE),TRUE,OR('Harbor Bay assumptions'!B13="",'Harbor Bay monthly P&amp;L and cash'!D25="")))),"",'Harbor Bay monthly P&amp;L and cash'!C31+'Harbor Bay monthly P&amp;L and cash'!D25)</f>
        <v>87844.11384217333</v>
      </c>
      <c r="E31" s="11">
        <f>IF(IF(IF(IFERROR('Harbor Bay assumptions'!B13=""=TRUE,FALSE),TRUE,IF(IFERROR('Harbor Bay monthly P&amp;L and cash'!E25=""=TRUE,FALSE),TRUE,OR('Harbor Bay assumptions'!B13="",'Harbor Bay monthly P&amp;L and cash'!E25="")))="",FALSE,IF(IFERROR('Harbor Bay assumptions'!B13=""=TRUE,FALSE),TRUE,IF(IFERROR('Harbor Bay monthly P&amp;L and cash'!E25=""=TRUE,FALSE),TRUE,OR('Harbor Bay assumptions'!B13="",'Harbor Bay monthly P&amp;L and cash'!E25="")))),"",'Harbor Bay monthly P&amp;L and cash'!D31+'Harbor Bay monthly P&amp;L and cash'!E25)</f>
        <v>107125.48512289778</v>
      </c>
      <c r="F31" s="11">
        <f>IF(IF(IF(IFERROR('Harbor Bay assumptions'!B13=""=TRUE,FALSE),TRUE,IF(IFERROR('Harbor Bay monthly P&amp;L and cash'!F25=""=TRUE,FALSE),TRUE,OR('Harbor Bay assumptions'!B13="",'Harbor Bay monthly P&amp;L and cash'!F25="")))="",FALSE,IF(IFERROR('Harbor Bay assumptions'!B13=""=TRUE,FALSE),TRUE,IF(IFERROR('Harbor Bay monthly P&amp;L and cash'!F25=""=TRUE,FALSE),TRUE,OR('Harbor Bay assumptions'!B13="",'Harbor Bay monthly P&amp;L and cash'!F25="")))),"",'Harbor Bay monthly P&amp;L and cash'!E31+'Harbor Bay monthly P&amp;L and cash'!F25)</f>
        <v>126406.85640362222</v>
      </c>
      <c r="G31" s="11">
        <f>IF(IF(IF(IFERROR('Harbor Bay assumptions'!B13=""=TRUE,FALSE),TRUE,IF(IFERROR('Harbor Bay monthly P&amp;L and cash'!G25=""=TRUE,FALSE),TRUE,OR('Harbor Bay assumptions'!B13="",'Harbor Bay monthly P&amp;L and cash'!G25="")))="",FALSE,IF(IFERROR('Harbor Bay assumptions'!B13=""=TRUE,FALSE),TRUE,IF(IFERROR('Harbor Bay monthly P&amp;L and cash'!G25=""=TRUE,FALSE),TRUE,OR('Harbor Bay assumptions'!B13="",'Harbor Bay monthly P&amp;L and cash'!G25="")))),"",'Harbor Bay monthly P&amp;L and cash'!F31+'Harbor Bay monthly P&amp;L and cash'!G25)</f>
        <v>145688.22768434667</v>
      </c>
      <c r="H31" s="11">
        <f>IF(IF(IF(IFERROR('Harbor Bay assumptions'!B13=""=TRUE,FALSE),TRUE,IF(IFERROR('Harbor Bay monthly P&amp;L and cash'!H25=""=TRUE,FALSE),TRUE,OR('Harbor Bay assumptions'!B13="",'Harbor Bay monthly P&amp;L and cash'!H25="")))="",FALSE,IF(IFERROR('Harbor Bay assumptions'!B13=""=TRUE,FALSE),TRUE,IF(IFERROR('Harbor Bay monthly P&amp;L and cash'!H25=""=TRUE,FALSE),TRUE,OR('Harbor Bay assumptions'!B13="",'Harbor Bay monthly P&amp;L and cash'!H25="")))),"",'Harbor Bay monthly P&amp;L and cash'!G31+'Harbor Bay monthly P&amp;L and cash'!H25)</f>
        <v>164969.5989650711</v>
      </c>
      <c r="I31" s="11">
        <f>IF(IF(IF(IFERROR('Harbor Bay assumptions'!B13=""=TRUE,FALSE),TRUE,IF(IFERROR('Harbor Bay monthly P&amp;L and cash'!I25=""=TRUE,FALSE),TRUE,OR('Harbor Bay assumptions'!B13="",'Harbor Bay monthly P&amp;L and cash'!I25="")))="",FALSE,IF(IFERROR('Harbor Bay assumptions'!B13=""=TRUE,FALSE),TRUE,IF(IFERROR('Harbor Bay monthly P&amp;L and cash'!I25=""=TRUE,FALSE),TRUE,OR('Harbor Bay assumptions'!B13="",'Harbor Bay monthly P&amp;L and cash'!I25="")))),"",'Harbor Bay monthly P&amp;L and cash'!H31+'Harbor Bay monthly P&amp;L and cash'!I25)</f>
        <v>184250.97024579556</v>
      </c>
      <c r="J31" s="11">
        <f>IF(IF(IF(IFERROR('Harbor Bay assumptions'!B13=""=TRUE,FALSE),TRUE,IF(IFERROR('Harbor Bay monthly P&amp;L and cash'!J25=""=TRUE,FALSE),TRUE,OR('Harbor Bay assumptions'!B13="",'Harbor Bay monthly P&amp;L and cash'!J25="")))="",FALSE,IF(IFERROR('Harbor Bay assumptions'!B13=""=TRUE,FALSE),TRUE,IF(IFERROR('Harbor Bay monthly P&amp;L and cash'!J25=""=TRUE,FALSE),TRUE,OR('Harbor Bay assumptions'!B13="",'Harbor Bay monthly P&amp;L and cash'!J25="")))),"",'Harbor Bay monthly P&amp;L and cash'!I31+'Harbor Bay monthly P&amp;L and cash'!J25)</f>
        <v>203532.34152652</v>
      </c>
      <c r="K31" s="11">
        <f>IF(IF(IF(IFERROR('Harbor Bay assumptions'!B13=""=TRUE,FALSE),TRUE,IF(IFERROR('Harbor Bay monthly P&amp;L and cash'!K25=""=TRUE,FALSE),TRUE,OR('Harbor Bay assumptions'!B13="",'Harbor Bay monthly P&amp;L and cash'!K25="")))="",FALSE,IF(IFERROR('Harbor Bay assumptions'!B13=""=TRUE,FALSE),TRUE,IF(IFERROR('Harbor Bay monthly P&amp;L and cash'!K25=""=TRUE,FALSE),TRUE,OR('Harbor Bay assumptions'!B13="",'Harbor Bay monthly P&amp;L and cash'!K25="")))),"",'Harbor Bay monthly P&amp;L and cash'!J31+'Harbor Bay monthly P&amp;L and cash'!K25)</f>
        <v>222813.71280724445</v>
      </c>
      <c r="L31" s="11">
        <f>IF(IF(IF(IFERROR('Harbor Bay assumptions'!B13=""=TRUE,FALSE),TRUE,IF(IFERROR('Harbor Bay monthly P&amp;L and cash'!L25=""=TRUE,FALSE),TRUE,OR('Harbor Bay assumptions'!B13="",'Harbor Bay monthly P&amp;L and cash'!L25="")))="",FALSE,IF(IFERROR('Harbor Bay assumptions'!B13=""=TRUE,FALSE),TRUE,IF(IFERROR('Harbor Bay monthly P&amp;L and cash'!L25=""=TRUE,FALSE),TRUE,OR('Harbor Bay assumptions'!B13="",'Harbor Bay monthly P&amp;L and cash'!L25="")))),"",'Harbor Bay monthly P&amp;L and cash'!K31+'Harbor Bay monthly P&amp;L and cash'!L25)</f>
        <v>242095.0840879689</v>
      </c>
      <c r="M31" s="11">
        <f>IF(IF(IF(IFERROR('Harbor Bay assumptions'!B13=""=TRUE,FALSE),TRUE,IF(IFERROR('Harbor Bay monthly P&amp;L and cash'!M25=""=TRUE,FALSE),TRUE,OR('Harbor Bay assumptions'!B13="",'Harbor Bay monthly P&amp;L and cash'!M25="")))="",FALSE,IF(IFERROR('Harbor Bay assumptions'!B13=""=TRUE,FALSE),TRUE,IF(IFERROR('Harbor Bay monthly P&amp;L and cash'!M25=""=TRUE,FALSE),TRUE,OR('Harbor Bay assumptions'!B13="",'Harbor Bay monthly P&amp;L and cash'!M25="")))),"",'Harbor Bay monthly P&amp;L and cash'!L31+'Harbor Bay monthly P&amp;L and cash'!M25)</f>
        <v>261376.45536869334</v>
      </c>
      <c r="N31" s="11">
        <f>IF(IF(IF(IFERROR('Harbor Bay assumptions'!B13=""=TRUE,FALSE),TRUE,IF(IFERROR('Harbor Bay monthly P&amp;L and cash'!N25=""=TRUE,FALSE),TRUE,OR('Harbor Bay assumptions'!B13="",'Harbor Bay monthly P&amp;L and cash'!N25="")))="",FALSE,IF(IFERROR('Harbor Bay assumptions'!B13=""=TRUE,FALSE),TRUE,IF(IFERROR('Harbor Bay monthly P&amp;L and cash'!N25=""=TRUE,FALSE),TRUE,OR('Harbor Bay assumptions'!B13="",'Harbor Bay monthly P&amp;L and cash'!N25="")))),"",'Harbor Bay monthly P&amp;L and cash'!M31+'Harbor Bay monthly P&amp;L and cash'!N25)</f>
        <v>280657.82664941775</v>
      </c>
      <c r="O31" s="11">
        <f>IF(IF(IF(IFERROR('Harbor Bay assumptions'!B13=""=TRUE,FALSE),TRUE,IF(IFERROR('Harbor Bay monthly P&amp;L and cash'!O25=""=TRUE,FALSE),TRUE,OR('Harbor Bay assumptions'!B13="",'Harbor Bay monthly P&amp;L and cash'!O25="")))="",FALSE,IF(IFERROR('Harbor Bay assumptions'!B13=""=TRUE,FALSE),TRUE,IF(IFERROR('Harbor Bay monthly P&amp;L and cash'!O25=""=TRUE,FALSE),TRUE,OR('Harbor Bay assumptions'!B13="",'Harbor Bay monthly P&amp;L and cash'!O25="")))),"",'Harbor Bay monthly P&amp;L and cash'!N31+'Harbor Bay monthly P&amp;L and cash'!O25)</f>
        <v>299939.19793014217</v>
      </c>
      <c r="P31" s="11">
        <f>IF(IF(IF(IFERROR('Harbor Bay assumptions'!B13=""=TRUE,FALSE),TRUE,IF(IFERROR('Harbor Bay monthly P&amp;L and cash'!P25=""=TRUE,FALSE),TRUE,OR('Harbor Bay assumptions'!B13="",'Harbor Bay monthly P&amp;L and cash'!P25="")))="",FALSE,IF(IFERROR('Harbor Bay assumptions'!B13=""=TRUE,FALSE),TRUE,IF(IFERROR('Harbor Bay monthly P&amp;L and cash'!P25=""=TRUE,FALSE),TRUE,OR('Harbor Bay assumptions'!B13="",'Harbor Bay monthly P&amp;L and cash'!P25="")))),"",'Harbor Bay monthly P&amp;L and cash'!O31+'Harbor Bay monthly P&amp;L and cash'!P25)</f>
        <v>319220.5692108666</v>
      </c>
    </row>
    <row r="32" outlineLevel="1">
      <c r="A32" t="inlineStr" s="13">
        <is>
          <t xml:space="preserve">Harbor Bay</t>
        </is>
      </c>
      <c r="B32" s="10">
        <f>IF(IF(IF(IFERROR('Harbor Bay assumptions'!B13=""=TRUE,FALSE),TRUE,IF(IFERROR('Harbor Bay monthly P&amp;L and cash'!B26=""=TRUE,FALSE),TRUE,OR('Harbor Bay assumptions'!B13="",'Harbor Bay monthly P&amp;L and cash'!B26="")))="",FALSE,IF(IFERROR('Harbor Bay assumptions'!B13=""=TRUE,FALSE),TRUE,IF(IFERROR('Harbor Bay monthly P&amp;L and cash'!B26=""=TRUE,FALSE),TRUE,OR('Harbor Bay assumptions'!B13="",'Harbor Bay monthly P&amp;L and cash'!B26="")))),"",'Model inputs'!D17+'Harbor Bay monthly P&amp;L and cash'!B26)</f>
        <v>49281.371280724445</v>
      </c>
      <c r="C32" s="10">
        <f>IF(IF(IF(IFERROR('Harbor Bay assumptions'!B13=""=TRUE,FALSE),TRUE,IF(IFERROR('Harbor Bay monthly P&amp;L and cash'!C26=""=TRUE,FALSE),TRUE,OR('Harbor Bay assumptions'!B13="",'Harbor Bay monthly P&amp;L and cash'!C26="")))="",FALSE,IF(IFERROR('Harbor Bay assumptions'!B13=""=TRUE,FALSE),TRUE,IF(IFERROR('Harbor Bay monthly P&amp;L and cash'!C26=""=TRUE,FALSE),TRUE,OR('Harbor Bay assumptions'!B13="",'Harbor Bay monthly P&amp;L and cash'!C26="")))),"",'Harbor Bay monthly P&amp;L and cash'!B32+'Harbor Bay monthly P&amp;L and cash'!C26)</f>
        <v>68562.74256144889</v>
      </c>
      <c r="D32" s="10">
        <f>IF(IF(IF(IFERROR('Harbor Bay assumptions'!B13=""=TRUE,FALSE),TRUE,IF(IFERROR('Harbor Bay monthly P&amp;L and cash'!D26=""=TRUE,FALSE),TRUE,OR('Harbor Bay assumptions'!B13="",'Harbor Bay monthly P&amp;L and cash'!D26="")))="",FALSE,IF(IFERROR('Harbor Bay assumptions'!B13=""=TRUE,FALSE),TRUE,IF(IFERROR('Harbor Bay monthly P&amp;L and cash'!D26=""=TRUE,FALSE),TRUE,OR('Harbor Bay assumptions'!B13="",'Harbor Bay monthly P&amp;L and cash'!D26="")))),"",'Harbor Bay monthly P&amp;L and cash'!C32+'Harbor Bay monthly P&amp;L and cash'!D26)</f>
        <v>87844.11384217333</v>
      </c>
      <c r="E32" s="10">
        <f>IF(IF(IF(IFERROR('Harbor Bay assumptions'!B13=""=TRUE,FALSE),TRUE,IF(IFERROR('Harbor Bay monthly P&amp;L and cash'!E26=""=TRUE,FALSE),TRUE,OR('Harbor Bay assumptions'!B13="",'Harbor Bay monthly P&amp;L and cash'!E26="")))="",FALSE,IF(IFERROR('Harbor Bay assumptions'!B13=""=TRUE,FALSE),TRUE,IF(IFERROR('Harbor Bay monthly P&amp;L and cash'!E26=""=TRUE,FALSE),TRUE,OR('Harbor Bay assumptions'!B13="",'Harbor Bay monthly P&amp;L and cash'!E26="")))),"",'Harbor Bay monthly P&amp;L and cash'!D32+'Harbor Bay monthly P&amp;L and cash'!E26)</f>
        <v>107125.48512289778</v>
      </c>
      <c r="F32" s="10">
        <f>IF(IF(IF(IFERROR('Harbor Bay assumptions'!B13=""=TRUE,FALSE),TRUE,IF(IFERROR('Harbor Bay monthly P&amp;L and cash'!F26=""=TRUE,FALSE),TRUE,OR('Harbor Bay assumptions'!B13="",'Harbor Bay monthly P&amp;L and cash'!F26="")))="",FALSE,IF(IFERROR('Harbor Bay assumptions'!B13=""=TRUE,FALSE),TRUE,IF(IFERROR('Harbor Bay monthly P&amp;L and cash'!F26=""=TRUE,FALSE),TRUE,OR('Harbor Bay assumptions'!B13="",'Harbor Bay monthly P&amp;L and cash'!F26="")))),"",'Harbor Bay monthly P&amp;L and cash'!E32+'Harbor Bay monthly P&amp;L and cash'!F26)</f>
        <v>126406.85640362222</v>
      </c>
      <c r="G32" s="10">
        <f>IF(IF(IF(IFERROR('Harbor Bay assumptions'!B13=""=TRUE,FALSE),TRUE,IF(IFERROR('Harbor Bay monthly P&amp;L and cash'!G26=""=TRUE,FALSE),TRUE,OR('Harbor Bay assumptions'!B13="",'Harbor Bay monthly P&amp;L and cash'!G26="")))="",FALSE,IF(IFERROR('Harbor Bay assumptions'!B13=""=TRUE,FALSE),TRUE,IF(IFERROR('Harbor Bay monthly P&amp;L and cash'!G26=""=TRUE,FALSE),TRUE,OR('Harbor Bay assumptions'!B13="",'Harbor Bay monthly P&amp;L and cash'!G26="")))),"",'Harbor Bay monthly P&amp;L and cash'!F32+'Harbor Bay monthly P&amp;L and cash'!G26)</f>
        <v>145688.22768434667</v>
      </c>
      <c r="H32" s="10">
        <f>IF(IF(IF(IFERROR('Harbor Bay assumptions'!B13=""=TRUE,FALSE),TRUE,IF(IFERROR('Harbor Bay monthly P&amp;L and cash'!H26=""=TRUE,FALSE),TRUE,OR('Harbor Bay assumptions'!B13="",'Harbor Bay monthly P&amp;L and cash'!H26="")))="",FALSE,IF(IFERROR('Harbor Bay assumptions'!B13=""=TRUE,FALSE),TRUE,IF(IFERROR('Harbor Bay monthly P&amp;L and cash'!H26=""=TRUE,FALSE),TRUE,OR('Harbor Bay assumptions'!B13="",'Harbor Bay monthly P&amp;L and cash'!H26="")))),"",'Harbor Bay monthly P&amp;L and cash'!G32+'Harbor Bay monthly P&amp;L and cash'!H26)</f>
        <v>164969.5989650711</v>
      </c>
      <c r="I32" s="10">
        <f>IF(IF(IF(IFERROR('Harbor Bay assumptions'!B13=""=TRUE,FALSE),TRUE,IF(IFERROR('Harbor Bay monthly P&amp;L and cash'!I26=""=TRUE,FALSE),TRUE,OR('Harbor Bay assumptions'!B13="",'Harbor Bay monthly P&amp;L and cash'!I26="")))="",FALSE,IF(IFERROR('Harbor Bay assumptions'!B13=""=TRUE,FALSE),TRUE,IF(IFERROR('Harbor Bay monthly P&amp;L and cash'!I26=""=TRUE,FALSE),TRUE,OR('Harbor Bay assumptions'!B13="",'Harbor Bay monthly P&amp;L and cash'!I26="")))),"",'Harbor Bay monthly P&amp;L and cash'!H32+'Harbor Bay monthly P&amp;L and cash'!I26)</f>
        <v>184250.97024579556</v>
      </c>
      <c r="J32" s="10">
        <f>IF(IF(IF(IFERROR('Harbor Bay assumptions'!B13=""=TRUE,FALSE),TRUE,IF(IFERROR('Harbor Bay monthly P&amp;L and cash'!J26=""=TRUE,FALSE),TRUE,OR('Harbor Bay assumptions'!B13="",'Harbor Bay monthly P&amp;L and cash'!J26="")))="",FALSE,IF(IFERROR('Harbor Bay assumptions'!B13=""=TRUE,FALSE),TRUE,IF(IFERROR('Harbor Bay monthly P&amp;L and cash'!J26=""=TRUE,FALSE),TRUE,OR('Harbor Bay assumptions'!B13="",'Harbor Bay monthly P&amp;L and cash'!J26="")))),"",'Harbor Bay monthly P&amp;L and cash'!I32+'Harbor Bay monthly P&amp;L and cash'!J26)</f>
        <v>203532.34152652</v>
      </c>
      <c r="K32" s="10">
        <f>IF(IF(IF(IFERROR('Harbor Bay assumptions'!B13=""=TRUE,FALSE),TRUE,IF(IFERROR('Harbor Bay monthly P&amp;L and cash'!K26=""=TRUE,FALSE),TRUE,OR('Harbor Bay assumptions'!B13="",'Harbor Bay monthly P&amp;L and cash'!K26="")))="",FALSE,IF(IFERROR('Harbor Bay assumptions'!B13=""=TRUE,FALSE),TRUE,IF(IFERROR('Harbor Bay monthly P&amp;L and cash'!K26=""=TRUE,FALSE),TRUE,OR('Harbor Bay assumptions'!B13="",'Harbor Bay monthly P&amp;L and cash'!K26="")))),"",'Harbor Bay monthly P&amp;L and cash'!J32+'Harbor Bay monthly P&amp;L and cash'!K26)</f>
        <v>222813.71280724445</v>
      </c>
      <c r="L32" s="10">
        <f>IF(IF(IF(IFERROR('Harbor Bay assumptions'!B13=""=TRUE,FALSE),TRUE,IF(IFERROR('Harbor Bay monthly P&amp;L and cash'!L26=""=TRUE,FALSE),TRUE,OR('Harbor Bay assumptions'!B13="",'Harbor Bay monthly P&amp;L and cash'!L26="")))="",FALSE,IF(IFERROR('Harbor Bay assumptions'!B13=""=TRUE,FALSE),TRUE,IF(IFERROR('Harbor Bay monthly P&amp;L and cash'!L26=""=TRUE,FALSE),TRUE,OR('Harbor Bay assumptions'!B13="",'Harbor Bay monthly P&amp;L and cash'!L26="")))),"",'Harbor Bay monthly P&amp;L and cash'!K32+'Harbor Bay monthly P&amp;L and cash'!L26)</f>
        <v>242095.0840879689</v>
      </c>
      <c r="M32" s="10">
        <f>IF(IF(IF(IFERROR('Harbor Bay assumptions'!B13=""=TRUE,FALSE),TRUE,IF(IFERROR('Harbor Bay monthly P&amp;L and cash'!M26=""=TRUE,FALSE),TRUE,OR('Harbor Bay assumptions'!B13="",'Harbor Bay monthly P&amp;L and cash'!M26="")))="",FALSE,IF(IFERROR('Harbor Bay assumptions'!B13=""=TRUE,FALSE),TRUE,IF(IFERROR('Harbor Bay monthly P&amp;L and cash'!M26=""=TRUE,FALSE),TRUE,OR('Harbor Bay assumptions'!B13="",'Harbor Bay monthly P&amp;L and cash'!M26="")))),"",'Harbor Bay monthly P&amp;L and cash'!L32+'Harbor Bay monthly P&amp;L and cash'!M26)</f>
        <v>261376.45536869334</v>
      </c>
      <c r="N32" s="10">
        <f>IF(IF(IF(IFERROR('Harbor Bay assumptions'!B13=""=TRUE,FALSE),TRUE,IF(IFERROR('Harbor Bay monthly P&amp;L and cash'!N26=""=TRUE,FALSE),TRUE,OR('Harbor Bay assumptions'!B13="",'Harbor Bay monthly P&amp;L and cash'!N26="")))="",FALSE,IF(IFERROR('Harbor Bay assumptions'!B13=""=TRUE,FALSE),TRUE,IF(IFERROR('Harbor Bay monthly P&amp;L and cash'!N26=""=TRUE,FALSE),TRUE,OR('Harbor Bay assumptions'!B13="",'Harbor Bay monthly P&amp;L and cash'!N26="")))),"",'Harbor Bay monthly P&amp;L and cash'!M32+'Harbor Bay monthly P&amp;L and cash'!N26)</f>
        <v>280657.82664941775</v>
      </c>
      <c r="O32" s="10">
        <f>IF(IF(IF(IFERROR('Harbor Bay assumptions'!B13=""=TRUE,FALSE),TRUE,IF(IFERROR('Harbor Bay monthly P&amp;L and cash'!O26=""=TRUE,FALSE),TRUE,OR('Harbor Bay assumptions'!B13="",'Harbor Bay monthly P&amp;L and cash'!O26="")))="",FALSE,IF(IFERROR('Harbor Bay assumptions'!B13=""=TRUE,FALSE),TRUE,IF(IFERROR('Harbor Bay monthly P&amp;L and cash'!O26=""=TRUE,FALSE),TRUE,OR('Harbor Bay assumptions'!B13="",'Harbor Bay monthly P&amp;L and cash'!O26="")))),"",'Harbor Bay monthly P&amp;L and cash'!N32+'Harbor Bay monthly P&amp;L and cash'!O26)</f>
        <v>299939.19793014217</v>
      </c>
      <c r="P32" s="10">
        <f>IF(IF(IF(IFERROR('Harbor Bay assumptions'!B13=""=TRUE,FALSE),TRUE,IF(IFERROR('Harbor Bay monthly P&amp;L and cash'!P26=""=TRUE,FALSE),TRUE,OR('Harbor Bay assumptions'!B13="",'Harbor Bay monthly P&amp;L and cash'!P26="")))="",FALSE,IF(IFERROR('Harbor Bay assumptions'!B13=""=TRUE,FALSE),TRUE,IF(IFERROR('Harbor Bay monthly P&amp;L and cash'!P26=""=TRUE,FALSE),TRUE,OR('Harbor Bay assumptions'!B13="",'Harbor Bay monthly P&amp;L and cash'!P26="")))),"",'Harbor Bay monthly P&amp;L and cash'!O32+'Harbor Bay monthly P&amp;L and cash'!P26)</f>
        <v>319220.5692108666</v>
      </c>
    </row>
    <row r="33">
      <c r="A33" t="inlineStr" s="5">
        <is>
          <t xml:space="preserve">Runway (months, loss cases only)</t>
        </is>
      </c>
      <c r="B33" t="str" s="19">
        <f>IF(IF(IF(IFERROR('Harbor Bay monthly P&amp;L and cash'!B25=""=TRUE,FALSE),TRUE,IF(IFERROR('Harbor Bay monthly P&amp;L and cash'!B31=""=TRUE,FALSE),TRUE,OR('Harbor Bay monthly P&amp;L and cash'!B25="",'Harbor Bay monthly P&amp;L and cash'!B31="")))="",FALSE,IF(IFERROR('Harbor Bay monthly P&amp;L and cash'!B25=""=TRUE,FALSE),TRUE,IF(IFERROR('Harbor Bay monthly P&amp;L and cash'!B31=""=TRUE,FALSE),TRUE,OR('Harbor Bay monthly P&amp;L and cash'!B25="",'Harbor Bay monthly P&amp;L and cash'!B31="")))),"",IFERROR(IF(IF(IF(ISERROR('Harbor Bay monthly P&amp;L and cash'!B25&lt;0),'Harbor Bay monthly P&amp;L and cash'!B25&lt;0,IF('Harbor Bay monthly P&amp;L and cash'!B25="","",'Harbor Bay monthly P&amp;L and cash'!B25&lt;0))="",FALSE,IF(ISERROR('Harbor Bay monthly P&amp;L and cash'!B25&lt;0),'Harbor Bay monthly P&amp;L and cash'!B25&lt;0,IF('Harbor Bay monthly P&amp;L and cash'!B25="","",'Harbor Bay monthly P&amp;L and cash'!B25&lt;0))),MAX('Harbor Bay monthly P&amp;L and cash'!B31/(0-'Harbor Bay monthly P&amp;L and cash'!B25),0),""),""))</f>
        <v/>
      </c>
      <c r="C33" t="str" s="19">
        <f>IF(IF(IF(IFERROR('Harbor Bay monthly P&amp;L and cash'!C25=""=TRUE,FALSE),TRUE,IF(IFERROR('Harbor Bay monthly P&amp;L and cash'!C31=""=TRUE,FALSE),TRUE,OR('Harbor Bay monthly P&amp;L and cash'!C25="",'Harbor Bay monthly P&amp;L and cash'!C31="")))="",FALSE,IF(IFERROR('Harbor Bay monthly P&amp;L and cash'!C25=""=TRUE,FALSE),TRUE,IF(IFERROR('Harbor Bay monthly P&amp;L and cash'!C31=""=TRUE,FALSE),TRUE,OR('Harbor Bay monthly P&amp;L and cash'!C25="",'Harbor Bay monthly P&amp;L and cash'!C31="")))),"",IFERROR(IF(IF(IF(ISERROR('Harbor Bay monthly P&amp;L and cash'!C25&lt;0),'Harbor Bay monthly P&amp;L and cash'!C25&lt;0,IF('Harbor Bay monthly P&amp;L and cash'!C25="","",'Harbor Bay monthly P&amp;L and cash'!C25&lt;0))="",FALSE,IF(ISERROR('Harbor Bay monthly P&amp;L and cash'!C25&lt;0),'Harbor Bay monthly P&amp;L and cash'!C25&lt;0,IF('Harbor Bay monthly P&amp;L and cash'!C25="","",'Harbor Bay monthly P&amp;L and cash'!C25&lt;0))),MAX('Harbor Bay monthly P&amp;L and cash'!C31/(0-'Harbor Bay monthly P&amp;L and cash'!C25),0),""),""))</f>
        <v/>
      </c>
      <c r="D33" t="str" s="19">
        <f>IF(IF(IF(IFERROR('Harbor Bay monthly P&amp;L and cash'!D25=""=TRUE,FALSE),TRUE,IF(IFERROR('Harbor Bay monthly P&amp;L and cash'!D31=""=TRUE,FALSE),TRUE,OR('Harbor Bay monthly P&amp;L and cash'!D25="",'Harbor Bay monthly P&amp;L and cash'!D31="")))="",FALSE,IF(IFERROR('Harbor Bay monthly P&amp;L and cash'!D25=""=TRUE,FALSE),TRUE,IF(IFERROR('Harbor Bay monthly P&amp;L and cash'!D31=""=TRUE,FALSE),TRUE,OR('Harbor Bay monthly P&amp;L and cash'!D25="",'Harbor Bay monthly P&amp;L and cash'!D31="")))),"",IFERROR(IF(IF(IF(ISERROR('Harbor Bay monthly P&amp;L and cash'!D25&lt;0),'Harbor Bay monthly P&amp;L and cash'!D25&lt;0,IF('Harbor Bay monthly P&amp;L and cash'!D25="","",'Harbor Bay monthly P&amp;L and cash'!D25&lt;0))="",FALSE,IF(ISERROR('Harbor Bay monthly P&amp;L and cash'!D25&lt;0),'Harbor Bay monthly P&amp;L and cash'!D25&lt;0,IF('Harbor Bay monthly P&amp;L and cash'!D25="","",'Harbor Bay monthly P&amp;L and cash'!D25&lt;0))),MAX('Harbor Bay monthly P&amp;L and cash'!D31/(0-'Harbor Bay monthly P&amp;L and cash'!D25),0),""),""))</f>
        <v/>
      </c>
      <c r="E33" t="str" s="19">
        <f>IF(IF(IF(IFERROR('Harbor Bay monthly P&amp;L and cash'!E25=""=TRUE,FALSE),TRUE,IF(IFERROR('Harbor Bay monthly P&amp;L and cash'!E31=""=TRUE,FALSE),TRUE,OR('Harbor Bay monthly P&amp;L and cash'!E25="",'Harbor Bay monthly P&amp;L and cash'!E31="")))="",FALSE,IF(IFERROR('Harbor Bay monthly P&amp;L and cash'!E25=""=TRUE,FALSE),TRUE,IF(IFERROR('Harbor Bay monthly P&amp;L and cash'!E31=""=TRUE,FALSE),TRUE,OR('Harbor Bay monthly P&amp;L and cash'!E25="",'Harbor Bay monthly P&amp;L and cash'!E31="")))),"",IFERROR(IF(IF(IF(ISERROR('Harbor Bay monthly P&amp;L and cash'!E25&lt;0),'Harbor Bay monthly P&amp;L and cash'!E25&lt;0,IF('Harbor Bay monthly P&amp;L and cash'!E25="","",'Harbor Bay monthly P&amp;L and cash'!E25&lt;0))="",FALSE,IF(ISERROR('Harbor Bay monthly P&amp;L and cash'!E25&lt;0),'Harbor Bay monthly P&amp;L and cash'!E25&lt;0,IF('Harbor Bay monthly P&amp;L and cash'!E25="","",'Harbor Bay monthly P&amp;L and cash'!E25&lt;0))),MAX('Harbor Bay monthly P&amp;L and cash'!E31/(0-'Harbor Bay monthly P&amp;L and cash'!E25),0),""),""))</f>
        <v/>
      </c>
      <c r="F33" t="str" s="19">
        <f>IF(IF(IF(IFERROR('Harbor Bay monthly P&amp;L and cash'!F25=""=TRUE,FALSE),TRUE,IF(IFERROR('Harbor Bay monthly P&amp;L and cash'!F31=""=TRUE,FALSE),TRUE,OR('Harbor Bay monthly P&amp;L and cash'!F25="",'Harbor Bay monthly P&amp;L and cash'!F31="")))="",FALSE,IF(IFERROR('Harbor Bay monthly P&amp;L and cash'!F25=""=TRUE,FALSE),TRUE,IF(IFERROR('Harbor Bay monthly P&amp;L and cash'!F31=""=TRUE,FALSE),TRUE,OR('Harbor Bay monthly P&amp;L and cash'!F25="",'Harbor Bay monthly P&amp;L and cash'!F31="")))),"",IFERROR(IF(IF(IF(ISERROR('Harbor Bay monthly P&amp;L and cash'!F25&lt;0),'Harbor Bay monthly P&amp;L and cash'!F25&lt;0,IF('Harbor Bay monthly P&amp;L and cash'!F25="","",'Harbor Bay monthly P&amp;L and cash'!F25&lt;0))="",FALSE,IF(ISERROR('Harbor Bay monthly P&amp;L and cash'!F25&lt;0),'Harbor Bay monthly P&amp;L and cash'!F25&lt;0,IF('Harbor Bay monthly P&amp;L and cash'!F25="","",'Harbor Bay monthly P&amp;L and cash'!F25&lt;0))),MAX('Harbor Bay monthly P&amp;L and cash'!F31/(0-'Harbor Bay monthly P&amp;L and cash'!F25),0),""),""))</f>
        <v/>
      </c>
      <c r="G33" t="str" s="19">
        <f>IF(IF(IF(IFERROR('Harbor Bay monthly P&amp;L and cash'!G25=""=TRUE,FALSE),TRUE,IF(IFERROR('Harbor Bay monthly P&amp;L and cash'!G31=""=TRUE,FALSE),TRUE,OR('Harbor Bay monthly P&amp;L and cash'!G25="",'Harbor Bay monthly P&amp;L and cash'!G31="")))="",FALSE,IF(IFERROR('Harbor Bay monthly P&amp;L and cash'!G25=""=TRUE,FALSE),TRUE,IF(IFERROR('Harbor Bay monthly P&amp;L and cash'!G31=""=TRUE,FALSE),TRUE,OR('Harbor Bay monthly P&amp;L and cash'!G25="",'Harbor Bay monthly P&amp;L and cash'!G31="")))),"",IFERROR(IF(IF(IF(ISERROR('Harbor Bay monthly P&amp;L and cash'!G25&lt;0),'Harbor Bay monthly P&amp;L and cash'!G25&lt;0,IF('Harbor Bay monthly P&amp;L and cash'!G25="","",'Harbor Bay monthly P&amp;L and cash'!G25&lt;0))="",FALSE,IF(ISERROR('Harbor Bay monthly P&amp;L and cash'!G25&lt;0),'Harbor Bay monthly P&amp;L and cash'!G25&lt;0,IF('Harbor Bay monthly P&amp;L and cash'!G25="","",'Harbor Bay monthly P&amp;L and cash'!G25&lt;0))),MAX('Harbor Bay monthly P&amp;L and cash'!G31/(0-'Harbor Bay monthly P&amp;L and cash'!G25),0),""),""))</f>
        <v/>
      </c>
      <c r="H33" t="str" s="19">
        <f>IF(IF(IF(IFERROR('Harbor Bay monthly P&amp;L and cash'!H25=""=TRUE,FALSE),TRUE,IF(IFERROR('Harbor Bay monthly P&amp;L and cash'!H31=""=TRUE,FALSE),TRUE,OR('Harbor Bay monthly P&amp;L and cash'!H25="",'Harbor Bay monthly P&amp;L and cash'!H31="")))="",FALSE,IF(IFERROR('Harbor Bay monthly P&amp;L and cash'!H25=""=TRUE,FALSE),TRUE,IF(IFERROR('Harbor Bay monthly P&amp;L and cash'!H31=""=TRUE,FALSE),TRUE,OR('Harbor Bay monthly P&amp;L and cash'!H25="",'Harbor Bay monthly P&amp;L and cash'!H31="")))),"",IFERROR(IF(IF(IF(ISERROR('Harbor Bay monthly P&amp;L and cash'!H25&lt;0),'Harbor Bay monthly P&amp;L and cash'!H25&lt;0,IF('Harbor Bay monthly P&amp;L and cash'!H25="","",'Harbor Bay monthly P&amp;L and cash'!H25&lt;0))="",FALSE,IF(ISERROR('Harbor Bay monthly P&amp;L and cash'!H25&lt;0),'Harbor Bay monthly P&amp;L and cash'!H25&lt;0,IF('Harbor Bay monthly P&amp;L and cash'!H25="","",'Harbor Bay monthly P&amp;L and cash'!H25&lt;0))),MAX('Harbor Bay monthly P&amp;L and cash'!H31/(0-'Harbor Bay monthly P&amp;L and cash'!H25),0),""),""))</f>
        <v/>
      </c>
      <c r="I33" t="str" s="19">
        <f>IF(IF(IF(IFERROR('Harbor Bay monthly P&amp;L and cash'!I25=""=TRUE,FALSE),TRUE,IF(IFERROR('Harbor Bay monthly P&amp;L and cash'!I31=""=TRUE,FALSE),TRUE,OR('Harbor Bay monthly P&amp;L and cash'!I25="",'Harbor Bay monthly P&amp;L and cash'!I31="")))="",FALSE,IF(IFERROR('Harbor Bay monthly P&amp;L and cash'!I25=""=TRUE,FALSE),TRUE,IF(IFERROR('Harbor Bay monthly P&amp;L and cash'!I31=""=TRUE,FALSE),TRUE,OR('Harbor Bay monthly P&amp;L and cash'!I25="",'Harbor Bay monthly P&amp;L and cash'!I31="")))),"",IFERROR(IF(IF(IF(ISERROR('Harbor Bay monthly P&amp;L and cash'!I25&lt;0),'Harbor Bay monthly P&amp;L and cash'!I25&lt;0,IF('Harbor Bay monthly P&amp;L and cash'!I25="","",'Harbor Bay monthly P&amp;L and cash'!I25&lt;0))="",FALSE,IF(ISERROR('Harbor Bay monthly P&amp;L and cash'!I25&lt;0),'Harbor Bay monthly P&amp;L and cash'!I25&lt;0,IF('Harbor Bay monthly P&amp;L and cash'!I25="","",'Harbor Bay monthly P&amp;L and cash'!I25&lt;0))),MAX('Harbor Bay monthly P&amp;L and cash'!I31/(0-'Harbor Bay monthly P&amp;L and cash'!I25),0),""),""))</f>
        <v/>
      </c>
      <c r="J33" t="str" s="19">
        <f>IF(IF(IF(IFERROR('Harbor Bay monthly P&amp;L and cash'!J25=""=TRUE,FALSE),TRUE,IF(IFERROR('Harbor Bay monthly P&amp;L and cash'!J31=""=TRUE,FALSE),TRUE,OR('Harbor Bay monthly P&amp;L and cash'!J25="",'Harbor Bay monthly P&amp;L and cash'!J31="")))="",FALSE,IF(IFERROR('Harbor Bay monthly P&amp;L and cash'!J25=""=TRUE,FALSE),TRUE,IF(IFERROR('Harbor Bay monthly P&amp;L and cash'!J31=""=TRUE,FALSE),TRUE,OR('Harbor Bay monthly P&amp;L and cash'!J25="",'Harbor Bay monthly P&amp;L and cash'!J31="")))),"",IFERROR(IF(IF(IF(ISERROR('Harbor Bay monthly P&amp;L and cash'!J25&lt;0),'Harbor Bay monthly P&amp;L and cash'!J25&lt;0,IF('Harbor Bay monthly P&amp;L and cash'!J25="","",'Harbor Bay monthly P&amp;L and cash'!J25&lt;0))="",FALSE,IF(ISERROR('Harbor Bay monthly P&amp;L and cash'!J25&lt;0),'Harbor Bay monthly P&amp;L and cash'!J25&lt;0,IF('Harbor Bay monthly P&amp;L and cash'!J25="","",'Harbor Bay monthly P&amp;L and cash'!J25&lt;0))),MAX('Harbor Bay monthly P&amp;L and cash'!J31/(0-'Harbor Bay monthly P&amp;L and cash'!J25),0),""),""))</f>
        <v/>
      </c>
      <c r="K33" t="str" s="19">
        <f>IF(IF(IF(IFERROR('Harbor Bay monthly P&amp;L and cash'!K25=""=TRUE,FALSE),TRUE,IF(IFERROR('Harbor Bay monthly P&amp;L and cash'!K31=""=TRUE,FALSE),TRUE,OR('Harbor Bay monthly P&amp;L and cash'!K25="",'Harbor Bay monthly P&amp;L and cash'!K31="")))="",FALSE,IF(IFERROR('Harbor Bay monthly P&amp;L and cash'!K25=""=TRUE,FALSE),TRUE,IF(IFERROR('Harbor Bay monthly P&amp;L and cash'!K31=""=TRUE,FALSE),TRUE,OR('Harbor Bay monthly P&amp;L and cash'!K25="",'Harbor Bay monthly P&amp;L and cash'!K31="")))),"",IFERROR(IF(IF(IF(ISERROR('Harbor Bay monthly P&amp;L and cash'!K25&lt;0),'Harbor Bay monthly P&amp;L and cash'!K25&lt;0,IF('Harbor Bay monthly P&amp;L and cash'!K25="","",'Harbor Bay monthly P&amp;L and cash'!K25&lt;0))="",FALSE,IF(ISERROR('Harbor Bay monthly P&amp;L and cash'!K25&lt;0),'Harbor Bay monthly P&amp;L and cash'!K25&lt;0,IF('Harbor Bay monthly P&amp;L and cash'!K25="","",'Harbor Bay monthly P&amp;L and cash'!K25&lt;0))),MAX('Harbor Bay monthly P&amp;L and cash'!K31/(0-'Harbor Bay monthly P&amp;L and cash'!K25),0),""),""))</f>
        <v/>
      </c>
      <c r="L33" t="str" s="19">
        <f>IF(IF(IF(IFERROR('Harbor Bay monthly P&amp;L and cash'!L25=""=TRUE,FALSE),TRUE,IF(IFERROR('Harbor Bay monthly P&amp;L and cash'!L31=""=TRUE,FALSE),TRUE,OR('Harbor Bay monthly P&amp;L and cash'!L25="",'Harbor Bay monthly P&amp;L and cash'!L31="")))="",FALSE,IF(IFERROR('Harbor Bay monthly P&amp;L and cash'!L25=""=TRUE,FALSE),TRUE,IF(IFERROR('Harbor Bay monthly P&amp;L and cash'!L31=""=TRUE,FALSE),TRUE,OR('Harbor Bay monthly P&amp;L and cash'!L25="",'Harbor Bay monthly P&amp;L and cash'!L31="")))),"",IFERROR(IF(IF(IF(ISERROR('Harbor Bay monthly P&amp;L and cash'!L25&lt;0),'Harbor Bay monthly P&amp;L and cash'!L25&lt;0,IF('Harbor Bay monthly P&amp;L and cash'!L25="","",'Harbor Bay monthly P&amp;L and cash'!L25&lt;0))="",FALSE,IF(ISERROR('Harbor Bay monthly P&amp;L and cash'!L25&lt;0),'Harbor Bay monthly P&amp;L and cash'!L25&lt;0,IF('Harbor Bay monthly P&amp;L and cash'!L25="","",'Harbor Bay monthly P&amp;L and cash'!L25&lt;0))),MAX('Harbor Bay monthly P&amp;L and cash'!L31/(0-'Harbor Bay monthly P&amp;L and cash'!L25),0),""),""))</f>
        <v/>
      </c>
      <c r="M33" t="str" s="19">
        <f>IF(IF(IF(IFERROR('Harbor Bay monthly P&amp;L and cash'!M25=""=TRUE,FALSE),TRUE,IF(IFERROR('Harbor Bay monthly P&amp;L and cash'!M31=""=TRUE,FALSE),TRUE,OR('Harbor Bay monthly P&amp;L and cash'!M25="",'Harbor Bay monthly P&amp;L and cash'!M31="")))="",FALSE,IF(IFERROR('Harbor Bay monthly P&amp;L and cash'!M25=""=TRUE,FALSE),TRUE,IF(IFERROR('Harbor Bay monthly P&amp;L and cash'!M31=""=TRUE,FALSE),TRUE,OR('Harbor Bay monthly P&amp;L and cash'!M25="",'Harbor Bay monthly P&amp;L and cash'!M31="")))),"",IFERROR(IF(IF(IF(ISERROR('Harbor Bay monthly P&amp;L and cash'!M25&lt;0),'Harbor Bay monthly P&amp;L and cash'!M25&lt;0,IF('Harbor Bay monthly P&amp;L and cash'!M25="","",'Harbor Bay monthly P&amp;L and cash'!M25&lt;0))="",FALSE,IF(ISERROR('Harbor Bay monthly P&amp;L and cash'!M25&lt;0),'Harbor Bay monthly P&amp;L and cash'!M25&lt;0,IF('Harbor Bay monthly P&amp;L and cash'!M25="","",'Harbor Bay monthly P&amp;L and cash'!M25&lt;0))),MAX('Harbor Bay monthly P&amp;L and cash'!M31/(0-'Harbor Bay monthly P&amp;L and cash'!M25),0),""),""))</f>
        <v/>
      </c>
      <c r="N33" t="str" s="19">
        <f>IF(IF(IF(IFERROR('Harbor Bay monthly P&amp;L and cash'!N25=""=TRUE,FALSE),TRUE,IF(IFERROR('Harbor Bay monthly P&amp;L and cash'!N31=""=TRUE,FALSE),TRUE,OR('Harbor Bay monthly P&amp;L and cash'!N25="",'Harbor Bay monthly P&amp;L and cash'!N31="")))="",FALSE,IF(IFERROR('Harbor Bay monthly P&amp;L and cash'!N25=""=TRUE,FALSE),TRUE,IF(IFERROR('Harbor Bay monthly P&amp;L and cash'!N31=""=TRUE,FALSE),TRUE,OR('Harbor Bay monthly P&amp;L and cash'!N25="",'Harbor Bay monthly P&amp;L and cash'!N31="")))),"",IFERROR(IF(IF(IF(ISERROR('Harbor Bay monthly P&amp;L and cash'!N25&lt;0),'Harbor Bay monthly P&amp;L and cash'!N25&lt;0,IF('Harbor Bay monthly P&amp;L and cash'!N25="","",'Harbor Bay monthly P&amp;L and cash'!N25&lt;0))="",FALSE,IF(ISERROR('Harbor Bay monthly P&amp;L and cash'!N25&lt;0),'Harbor Bay monthly P&amp;L and cash'!N25&lt;0,IF('Harbor Bay monthly P&amp;L and cash'!N25="","",'Harbor Bay monthly P&amp;L and cash'!N25&lt;0))),MAX('Harbor Bay monthly P&amp;L and cash'!N31/(0-'Harbor Bay monthly P&amp;L and cash'!N25),0),""),""))</f>
        <v/>
      </c>
      <c r="O33" t="str" s="19">
        <f>IF(IF(IF(IFERROR('Harbor Bay monthly P&amp;L and cash'!O25=""=TRUE,FALSE),TRUE,IF(IFERROR('Harbor Bay monthly P&amp;L and cash'!O31=""=TRUE,FALSE),TRUE,OR('Harbor Bay monthly P&amp;L and cash'!O25="",'Harbor Bay monthly P&amp;L and cash'!O31="")))="",FALSE,IF(IFERROR('Harbor Bay monthly P&amp;L and cash'!O25=""=TRUE,FALSE),TRUE,IF(IFERROR('Harbor Bay monthly P&amp;L and cash'!O31=""=TRUE,FALSE),TRUE,OR('Harbor Bay monthly P&amp;L and cash'!O25="",'Harbor Bay monthly P&amp;L and cash'!O31="")))),"",IFERROR(IF(IF(IF(ISERROR('Harbor Bay monthly P&amp;L and cash'!O25&lt;0),'Harbor Bay monthly P&amp;L and cash'!O25&lt;0,IF('Harbor Bay monthly P&amp;L and cash'!O25="","",'Harbor Bay monthly P&amp;L and cash'!O25&lt;0))="",FALSE,IF(ISERROR('Harbor Bay monthly P&amp;L and cash'!O25&lt;0),'Harbor Bay monthly P&amp;L and cash'!O25&lt;0,IF('Harbor Bay monthly P&amp;L and cash'!O25="","",'Harbor Bay monthly P&amp;L and cash'!O25&lt;0))),MAX('Harbor Bay monthly P&amp;L and cash'!O31/(0-'Harbor Bay monthly P&amp;L and cash'!O25),0),""),""))</f>
        <v/>
      </c>
      <c r="P33" t="str" s="19">
        <f>IF(IF(IF(IFERROR('Harbor Bay monthly P&amp;L and cash'!P25=""=TRUE,FALSE),TRUE,IF(IFERROR('Harbor Bay monthly P&amp;L and cash'!P31=""=TRUE,FALSE),TRUE,OR('Harbor Bay monthly P&amp;L and cash'!P25="",'Harbor Bay monthly P&amp;L and cash'!P31="")))="",FALSE,IF(IFERROR('Harbor Bay monthly P&amp;L and cash'!P25=""=TRUE,FALSE),TRUE,IF(IFERROR('Harbor Bay monthly P&amp;L and cash'!P31=""=TRUE,FALSE),TRUE,OR('Harbor Bay monthly P&amp;L and cash'!P25="",'Harbor Bay monthly P&amp;L and cash'!P31="")))),"",IFERROR(IF(IF(IF(ISERROR('Harbor Bay monthly P&amp;L and cash'!P25&lt;0),'Harbor Bay monthly P&amp;L and cash'!P25&lt;0,IF('Harbor Bay monthly P&amp;L and cash'!P25="","",'Harbor Bay monthly P&amp;L and cash'!P25&lt;0))="",FALSE,IF(ISERROR('Harbor Bay monthly P&amp;L and cash'!P25&lt;0),'Harbor Bay monthly P&amp;L and cash'!P25&lt;0,IF('Harbor Bay monthly P&amp;L and cash'!P25="","",'Harbor Bay monthly P&amp;L and cash'!P25&lt;0))),MAX('Harbor Bay monthly P&amp;L and cash'!P31/(0-'Harbor Bay monthly P&amp;L and cash'!P25),0),""),""))</f>
        <v/>
      </c>
    </row>
    <row r="34" outlineLevel="1">
      <c r="A34" t="inlineStr" s="13">
        <is>
          <t xml:space="preserve">Harbor Bay</t>
        </is>
      </c>
      <c r="B34" t="str" s="20">
        <f>IF(IF(IF(IFERROR('Harbor Bay monthly P&amp;L and cash'!B26=""=TRUE,FALSE),TRUE,IF(IFERROR('Harbor Bay monthly P&amp;L and cash'!B32=""=TRUE,FALSE),TRUE,OR('Harbor Bay monthly P&amp;L and cash'!B26="",'Harbor Bay monthly P&amp;L and cash'!B32="")))="",FALSE,IF(IFERROR('Harbor Bay monthly P&amp;L and cash'!B26=""=TRUE,FALSE),TRUE,IF(IFERROR('Harbor Bay monthly P&amp;L and cash'!B32=""=TRUE,FALSE),TRUE,OR('Harbor Bay monthly P&amp;L and cash'!B26="",'Harbor Bay monthly P&amp;L and cash'!B32="")))),"",IFERROR(IF(IF(IF(ISERROR('Harbor Bay monthly P&amp;L and cash'!B26&lt;0),'Harbor Bay monthly P&amp;L and cash'!B26&lt;0,IF('Harbor Bay monthly P&amp;L and cash'!B26="","",'Harbor Bay monthly P&amp;L and cash'!B26&lt;0))="",FALSE,IF(ISERROR('Harbor Bay monthly P&amp;L and cash'!B26&lt;0),'Harbor Bay monthly P&amp;L and cash'!B26&lt;0,IF('Harbor Bay monthly P&amp;L and cash'!B26="","",'Harbor Bay monthly P&amp;L and cash'!B26&lt;0))),MAX('Harbor Bay monthly P&amp;L and cash'!B32/(0-'Harbor Bay monthly P&amp;L and cash'!B26),0),""),""))</f>
        <v/>
      </c>
      <c r="C34" t="str" s="20">
        <f>IF(IF(IF(IFERROR('Harbor Bay monthly P&amp;L and cash'!C26=""=TRUE,FALSE),TRUE,IF(IFERROR('Harbor Bay monthly P&amp;L and cash'!C32=""=TRUE,FALSE),TRUE,OR('Harbor Bay monthly P&amp;L and cash'!C26="",'Harbor Bay monthly P&amp;L and cash'!C32="")))="",FALSE,IF(IFERROR('Harbor Bay monthly P&amp;L and cash'!C26=""=TRUE,FALSE),TRUE,IF(IFERROR('Harbor Bay monthly P&amp;L and cash'!C32=""=TRUE,FALSE),TRUE,OR('Harbor Bay monthly P&amp;L and cash'!C26="",'Harbor Bay monthly P&amp;L and cash'!C32="")))),"",IFERROR(IF(IF(IF(ISERROR('Harbor Bay monthly P&amp;L and cash'!C26&lt;0),'Harbor Bay monthly P&amp;L and cash'!C26&lt;0,IF('Harbor Bay monthly P&amp;L and cash'!C26="","",'Harbor Bay monthly P&amp;L and cash'!C26&lt;0))="",FALSE,IF(ISERROR('Harbor Bay monthly P&amp;L and cash'!C26&lt;0),'Harbor Bay monthly P&amp;L and cash'!C26&lt;0,IF('Harbor Bay monthly P&amp;L and cash'!C26="","",'Harbor Bay monthly P&amp;L and cash'!C26&lt;0))),MAX('Harbor Bay monthly P&amp;L and cash'!C32/(0-'Harbor Bay monthly P&amp;L and cash'!C26),0),""),""))</f>
        <v/>
      </c>
      <c r="D34" t="str" s="20">
        <f>IF(IF(IF(IFERROR('Harbor Bay monthly P&amp;L and cash'!D26=""=TRUE,FALSE),TRUE,IF(IFERROR('Harbor Bay monthly P&amp;L and cash'!D32=""=TRUE,FALSE),TRUE,OR('Harbor Bay monthly P&amp;L and cash'!D26="",'Harbor Bay monthly P&amp;L and cash'!D32="")))="",FALSE,IF(IFERROR('Harbor Bay monthly P&amp;L and cash'!D26=""=TRUE,FALSE),TRUE,IF(IFERROR('Harbor Bay monthly P&amp;L and cash'!D32=""=TRUE,FALSE),TRUE,OR('Harbor Bay monthly P&amp;L and cash'!D26="",'Harbor Bay monthly P&amp;L and cash'!D32="")))),"",IFERROR(IF(IF(IF(ISERROR('Harbor Bay monthly P&amp;L and cash'!D26&lt;0),'Harbor Bay monthly P&amp;L and cash'!D26&lt;0,IF('Harbor Bay monthly P&amp;L and cash'!D26="","",'Harbor Bay monthly P&amp;L and cash'!D26&lt;0))="",FALSE,IF(ISERROR('Harbor Bay monthly P&amp;L and cash'!D26&lt;0),'Harbor Bay monthly P&amp;L and cash'!D26&lt;0,IF('Harbor Bay monthly P&amp;L and cash'!D26="","",'Harbor Bay monthly P&amp;L and cash'!D26&lt;0))),MAX('Harbor Bay monthly P&amp;L and cash'!D32/(0-'Harbor Bay monthly P&amp;L and cash'!D26),0),""),""))</f>
        <v/>
      </c>
      <c r="E34" t="str" s="20">
        <f>IF(IF(IF(IFERROR('Harbor Bay monthly P&amp;L and cash'!E26=""=TRUE,FALSE),TRUE,IF(IFERROR('Harbor Bay monthly P&amp;L and cash'!E32=""=TRUE,FALSE),TRUE,OR('Harbor Bay monthly P&amp;L and cash'!E26="",'Harbor Bay monthly P&amp;L and cash'!E32="")))="",FALSE,IF(IFERROR('Harbor Bay monthly P&amp;L and cash'!E26=""=TRUE,FALSE),TRUE,IF(IFERROR('Harbor Bay monthly P&amp;L and cash'!E32=""=TRUE,FALSE),TRUE,OR('Harbor Bay monthly P&amp;L and cash'!E26="",'Harbor Bay monthly P&amp;L and cash'!E32="")))),"",IFERROR(IF(IF(IF(ISERROR('Harbor Bay monthly P&amp;L and cash'!E26&lt;0),'Harbor Bay monthly P&amp;L and cash'!E26&lt;0,IF('Harbor Bay monthly P&amp;L and cash'!E26="","",'Harbor Bay monthly P&amp;L and cash'!E26&lt;0))="",FALSE,IF(ISERROR('Harbor Bay monthly P&amp;L and cash'!E26&lt;0),'Harbor Bay monthly P&amp;L and cash'!E26&lt;0,IF('Harbor Bay monthly P&amp;L and cash'!E26="","",'Harbor Bay monthly P&amp;L and cash'!E26&lt;0))),MAX('Harbor Bay monthly P&amp;L and cash'!E32/(0-'Harbor Bay monthly P&amp;L and cash'!E26),0),""),""))</f>
        <v/>
      </c>
      <c r="F34" t="str" s="20">
        <f>IF(IF(IF(IFERROR('Harbor Bay monthly P&amp;L and cash'!F26=""=TRUE,FALSE),TRUE,IF(IFERROR('Harbor Bay monthly P&amp;L and cash'!F32=""=TRUE,FALSE),TRUE,OR('Harbor Bay monthly P&amp;L and cash'!F26="",'Harbor Bay monthly P&amp;L and cash'!F32="")))="",FALSE,IF(IFERROR('Harbor Bay monthly P&amp;L and cash'!F26=""=TRUE,FALSE),TRUE,IF(IFERROR('Harbor Bay monthly P&amp;L and cash'!F32=""=TRUE,FALSE),TRUE,OR('Harbor Bay monthly P&amp;L and cash'!F26="",'Harbor Bay monthly P&amp;L and cash'!F32="")))),"",IFERROR(IF(IF(IF(ISERROR('Harbor Bay monthly P&amp;L and cash'!F26&lt;0),'Harbor Bay monthly P&amp;L and cash'!F26&lt;0,IF('Harbor Bay monthly P&amp;L and cash'!F26="","",'Harbor Bay monthly P&amp;L and cash'!F26&lt;0))="",FALSE,IF(ISERROR('Harbor Bay monthly P&amp;L and cash'!F26&lt;0),'Harbor Bay monthly P&amp;L and cash'!F26&lt;0,IF('Harbor Bay monthly P&amp;L and cash'!F26="","",'Harbor Bay monthly P&amp;L and cash'!F26&lt;0))),MAX('Harbor Bay monthly P&amp;L and cash'!F32/(0-'Harbor Bay monthly P&amp;L and cash'!F26),0),""),""))</f>
        <v/>
      </c>
      <c r="G34" t="str" s="20">
        <f>IF(IF(IF(IFERROR('Harbor Bay monthly P&amp;L and cash'!G26=""=TRUE,FALSE),TRUE,IF(IFERROR('Harbor Bay monthly P&amp;L and cash'!G32=""=TRUE,FALSE),TRUE,OR('Harbor Bay monthly P&amp;L and cash'!G26="",'Harbor Bay monthly P&amp;L and cash'!G32="")))="",FALSE,IF(IFERROR('Harbor Bay monthly P&amp;L and cash'!G26=""=TRUE,FALSE),TRUE,IF(IFERROR('Harbor Bay monthly P&amp;L and cash'!G32=""=TRUE,FALSE),TRUE,OR('Harbor Bay monthly P&amp;L and cash'!G26="",'Harbor Bay monthly P&amp;L and cash'!G32="")))),"",IFERROR(IF(IF(IF(ISERROR('Harbor Bay monthly P&amp;L and cash'!G26&lt;0),'Harbor Bay monthly P&amp;L and cash'!G26&lt;0,IF('Harbor Bay monthly P&amp;L and cash'!G26="","",'Harbor Bay monthly P&amp;L and cash'!G26&lt;0))="",FALSE,IF(ISERROR('Harbor Bay monthly P&amp;L and cash'!G26&lt;0),'Harbor Bay monthly P&amp;L and cash'!G26&lt;0,IF('Harbor Bay monthly P&amp;L and cash'!G26="","",'Harbor Bay monthly P&amp;L and cash'!G26&lt;0))),MAX('Harbor Bay monthly P&amp;L and cash'!G32/(0-'Harbor Bay monthly P&amp;L and cash'!G26),0),""),""))</f>
        <v/>
      </c>
      <c r="H34" t="str" s="20">
        <f>IF(IF(IF(IFERROR('Harbor Bay monthly P&amp;L and cash'!H26=""=TRUE,FALSE),TRUE,IF(IFERROR('Harbor Bay monthly P&amp;L and cash'!H32=""=TRUE,FALSE),TRUE,OR('Harbor Bay monthly P&amp;L and cash'!H26="",'Harbor Bay monthly P&amp;L and cash'!H32="")))="",FALSE,IF(IFERROR('Harbor Bay monthly P&amp;L and cash'!H26=""=TRUE,FALSE),TRUE,IF(IFERROR('Harbor Bay monthly P&amp;L and cash'!H32=""=TRUE,FALSE),TRUE,OR('Harbor Bay monthly P&amp;L and cash'!H26="",'Harbor Bay monthly P&amp;L and cash'!H32="")))),"",IFERROR(IF(IF(IF(ISERROR('Harbor Bay monthly P&amp;L and cash'!H26&lt;0),'Harbor Bay monthly P&amp;L and cash'!H26&lt;0,IF('Harbor Bay monthly P&amp;L and cash'!H26="","",'Harbor Bay monthly P&amp;L and cash'!H26&lt;0))="",FALSE,IF(ISERROR('Harbor Bay monthly P&amp;L and cash'!H26&lt;0),'Harbor Bay monthly P&amp;L and cash'!H26&lt;0,IF('Harbor Bay monthly P&amp;L and cash'!H26="","",'Harbor Bay monthly P&amp;L and cash'!H26&lt;0))),MAX('Harbor Bay monthly P&amp;L and cash'!H32/(0-'Harbor Bay monthly P&amp;L and cash'!H26),0),""),""))</f>
        <v/>
      </c>
      <c r="I34" t="str" s="20">
        <f>IF(IF(IF(IFERROR('Harbor Bay monthly P&amp;L and cash'!I26=""=TRUE,FALSE),TRUE,IF(IFERROR('Harbor Bay monthly P&amp;L and cash'!I32=""=TRUE,FALSE),TRUE,OR('Harbor Bay monthly P&amp;L and cash'!I26="",'Harbor Bay monthly P&amp;L and cash'!I32="")))="",FALSE,IF(IFERROR('Harbor Bay monthly P&amp;L and cash'!I26=""=TRUE,FALSE),TRUE,IF(IFERROR('Harbor Bay monthly P&amp;L and cash'!I32=""=TRUE,FALSE),TRUE,OR('Harbor Bay monthly P&amp;L and cash'!I26="",'Harbor Bay monthly P&amp;L and cash'!I32="")))),"",IFERROR(IF(IF(IF(ISERROR('Harbor Bay monthly P&amp;L and cash'!I26&lt;0),'Harbor Bay monthly P&amp;L and cash'!I26&lt;0,IF('Harbor Bay monthly P&amp;L and cash'!I26="","",'Harbor Bay monthly P&amp;L and cash'!I26&lt;0))="",FALSE,IF(ISERROR('Harbor Bay monthly P&amp;L and cash'!I26&lt;0),'Harbor Bay monthly P&amp;L and cash'!I26&lt;0,IF('Harbor Bay monthly P&amp;L and cash'!I26="","",'Harbor Bay monthly P&amp;L and cash'!I26&lt;0))),MAX('Harbor Bay monthly P&amp;L and cash'!I32/(0-'Harbor Bay monthly P&amp;L and cash'!I26),0),""),""))</f>
        <v/>
      </c>
      <c r="J34" t="str" s="20">
        <f>IF(IF(IF(IFERROR('Harbor Bay monthly P&amp;L and cash'!J26=""=TRUE,FALSE),TRUE,IF(IFERROR('Harbor Bay monthly P&amp;L and cash'!J32=""=TRUE,FALSE),TRUE,OR('Harbor Bay monthly P&amp;L and cash'!J26="",'Harbor Bay monthly P&amp;L and cash'!J32="")))="",FALSE,IF(IFERROR('Harbor Bay monthly P&amp;L and cash'!J26=""=TRUE,FALSE),TRUE,IF(IFERROR('Harbor Bay monthly P&amp;L and cash'!J32=""=TRUE,FALSE),TRUE,OR('Harbor Bay monthly P&amp;L and cash'!J26="",'Harbor Bay monthly P&amp;L and cash'!J32="")))),"",IFERROR(IF(IF(IF(ISERROR('Harbor Bay monthly P&amp;L and cash'!J26&lt;0),'Harbor Bay monthly P&amp;L and cash'!J26&lt;0,IF('Harbor Bay monthly P&amp;L and cash'!J26="","",'Harbor Bay monthly P&amp;L and cash'!J26&lt;0))="",FALSE,IF(ISERROR('Harbor Bay monthly P&amp;L and cash'!J26&lt;0),'Harbor Bay monthly P&amp;L and cash'!J26&lt;0,IF('Harbor Bay monthly P&amp;L and cash'!J26="","",'Harbor Bay monthly P&amp;L and cash'!J26&lt;0))),MAX('Harbor Bay monthly P&amp;L and cash'!J32/(0-'Harbor Bay monthly P&amp;L and cash'!J26),0),""),""))</f>
        <v/>
      </c>
      <c r="K34" t="str" s="20">
        <f>IF(IF(IF(IFERROR('Harbor Bay monthly P&amp;L and cash'!K26=""=TRUE,FALSE),TRUE,IF(IFERROR('Harbor Bay monthly P&amp;L and cash'!K32=""=TRUE,FALSE),TRUE,OR('Harbor Bay monthly P&amp;L and cash'!K26="",'Harbor Bay monthly P&amp;L and cash'!K32="")))="",FALSE,IF(IFERROR('Harbor Bay monthly P&amp;L and cash'!K26=""=TRUE,FALSE),TRUE,IF(IFERROR('Harbor Bay monthly P&amp;L and cash'!K32=""=TRUE,FALSE),TRUE,OR('Harbor Bay monthly P&amp;L and cash'!K26="",'Harbor Bay monthly P&amp;L and cash'!K32="")))),"",IFERROR(IF(IF(IF(ISERROR('Harbor Bay monthly P&amp;L and cash'!K26&lt;0),'Harbor Bay monthly P&amp;L and cash'!K26&lt;0,IF('Harbor Bay monthly P&amp;L and cash'!K26="","",'Harbor Bay monthly P&amp;L and cash'!K26&lt;0))="",FALSE,IF(ISERROR('Harbor Bay monthly P&amp;L and cash'!K26&lt;0),'Harbor Bay monthly P&amp;L and cash'!K26&lt;0,IF('Harbor Bay monthly P&amp;L and cash'!K26="","",'Harbor Bay monthly P&amp;L and cash'!K26&lt;0))),MAX('Harbor Bay monthly P&amp;L and cash'!K32/(0-'Harbor Bay monthly P&amp;L and cash'!K26),0),""),""))</f>
        <v/>
      </c>
      <c r="L34" t="str" s="20">
        <f>IF(IF(IF(IFERROR('Harbor Bay monthly P&amp;L and cash'!L26=""=TRUE,FALSE),TRUE,IF(IFERROR('Harbor Bay monthly P&amp;L and cash'!L32=""=TRUE,FALSE),TRUE,OR('Harbor Bay monthly P&amp;L and cash'!L26="",'Harbor Bay monthly P&amp;L and cash'!L32="")))="",FALSE,IF(IFERROR('Harbor Bay monthly P&amp;L and cash'!L26=""=TRUE,FALSE),TRUE,IF(IFERROR('Harbor Bay monthly P&amp;L and cash'!L32=""=TRUE,FALSE),TRUE,OR('Harbor Bay monthly P&amp;L and cash'!L26="",'Harbor Bay monthly P&amp;L and cash'!L32="")))),"",IFERROR(IF(IF(IF(ISERROR('Harbor Bay monthly P&amp;L and cash'!L26&lt;0),'Harbor Bay monthly P&amp;L and cash'!L26&lt;0,IF('Harbor Bay monthly P&amp;L and cash'!L26="","",'Harbor Bay monthly P&amp;L and cash'!L26&lt;0))="",FALSE,IF(ISERROR('Harbor Bay monthly P&amp;L and cash'!L26&lt;0),'Harbor Bay monthly P&amp;L and cash'!L26&lt;0,IF('Harbor Bay monthly P&amp;L and cash'!L26="","",'Harbor Bay monthly P&amp;L and cash'!L26&lt;0))),MAX('Harbor Bay monthly P&amp;L and cash'!L32/(0-'Harbor Bay monthly P&amp;L and cash'!L26),0),""),""))</f>
        <v/>
      </c>
      <c r="M34" t="str" s="20">
        <f>IF(IF(IF(IFERROR('Harbor Bay monthly P&amp;L and cash'!M26=""=TRUE,FALSE),TRUE,IF(IFERROR('Harbor Bay monthly P&amp;L and cash'!M32=""=TRUE,FALSE),TRUE,OR('Harbor Bay monthly P&amp;L and cash'!M26="",'Harbor Bay monthly P&amp;L and cash'!M32="")))="",FALSE,IF(IFERROR('Harbor Bay monthly P&amp;L and cash'!M26=""=TRUE,FALSE),TRUE,IF(IFERROR('Harbor Bay monthly P&amp;L and cash'!M32=""=TRUE,FALSE),TRUE,OR('Harbor Bay monthly P&amp;L and cash'!M26="",'Harbor Bay monthly P&amp;L and cash'!M32="")))),"",IFERROR(IF(IF(IF(ISERROR('Harbor Bay monthly P&amp;L and cash'!M26&lt;0),'Harbor Bay monthly P&amp;L and cash'!M26&lt;0,IF('Harbor Bay monthly P&amp;L and cash'!M26="","",'Harbor Bay monthly P&amp;L and cash'!M26&lt;0))="",FALSE,IF(ISERROR('Harbor Bay monthly P&amp;L and cash'!M26&lt;0),'Harbor Bay monthly P&amp;L and cash'!M26&lt;0,IF('Harbor Bay monthly P&amp;L and cash'!M26="","",'Harbor Bay monthly P&amp;L and cash'!M26&lt;0))),MAX('Harbor Bay monthly P&amp;L and cash'!M32/(0-'Harbor Bay monthly P&amp;L and cash'!M26),0),""),""))</f>
        <v/>
      </c>
      <c r="N34" t="str" s="20">
        <f>IF(IF(IF(IFERROR('Harbor Bay monthly P&amp;L and cash'!N26=""=TRUE,FALSE),TRUE,IF(IFERROR('Harbor Bay monthly P&amp;L and cash'!N32=""=TRUE,FALSE),TRUE,OR('Harbor Bay monthly P&amp;L and cash'!N26="",'Harbor Bay monthly P&amp;L and cash'!N32="")))="",FALSE,IF(IFERROR('Harbor Bay monthly P&amp;L and cash'!N26=""=TRUE,FALSE),TRUE,IF(IFERROR('Harbor Bay monthly P&amp;L and cash'!N32=""=TRUE,FALSE),TRUE,OR('Harbor Bay monthly P&amp;L and cash'!N26="",'Harbor Bay monthly P&amp;L and cash'!N32="")))),"",IFERROR(IF(IF(IF(ISERROR('Harbor Bay monthly P&amp;L and cash'!N26&lt;0),'Harbor Bay monthly P&amp;L and cash'!N26&lt;0,IF('Harbor Bay monthly P&amp;L and cash'!N26="","",'Harbor Bay monthly P&amp;L and cash'!N26&lt;0))="",FALSE,IF(ISERROR('Harbor Bay monthly P&amp;L and cash'!N26&lt;0),'Harbor Bay monthly P&amp;L and cash'!N26&lt;0,IF('Harbor Bay monthly P&amp;L and cash'!N26="","",'Harbor Bay monthly P&amp;L and cash'!N26&lt;0))),MAX('Harbor Bay monthly P&amp;L and cash'!N32/(0-'Harbor Bay monthly P&amp;L and cash'!N26),0),""),""))</f>
        <v/>
      </c>
      <c r="O34" t="str" s="20">
        <f>IF(IF(IF(IFERROR('Harbor Bay monthly P&amp;L and cash'!O26=""=TRUE,FALSE),TRUE,IF(IFERROR('Harbor Bay monthly P&amp;L and cash'!O32=""=TRUE,FALSE),TRUE,OR('Harbor Bay monthly P&amp;L and cash'!O26="",'Harbor Bay monthly P&amp;L and cash'!O32="")))="",FALSE,IF(IFERROR('Harbor Bay monthly P&amp;L and cash'!O26=""=TRUE,FALSE),TRUE,IF(IFERROR('Harbor Bay monthly P&amp;L and cash'!O32=""=TRUE,FALSE),TRUE,OR('Harbor Bay monthly P&amp;L and cash'!O26="",'Harbor Bay monthly P&amp;L and cash'!O32="")))),"",IFERROR(IF(IF(IF(ISERROR('Harbor Bay monthly P&amp;L and cash'!O26&lt;0),'Harbor Bay monthly P&amp;L and cash'!O26&lt;0,IF('Harbor Bay monthly P&amp;L and cash'!O26="","",'Harbor Bay monthly P&amp;L and cash'!O26&lt;0))="",FALSE,IF(ISERROR('Harbor Bay monthly P&amp;L and cash'!O26&lt;0),'Harbor Bay monthly P&amp;L and cash'!O26&lt;0,IF('Harbor Bay monthly P&amp;L and cash'!O26="","",'Harbor Bay monthly P&amp;L and cash'!O26&lt;0))),MAX('Harbor Bay monthly P&amp;L and cash'!O32/(0-'Harbor Bay monthly P&amp;L and cash'!O26),0),""),""))</f>
        <v/>
      </c>
      <c r="P34" t="str" s="20">
        <f>IF(IF(IF(IFERROR('Harbor Bay monthly P&amp;L and cash'!P26=""=TRUE,FALSE),TRUE,IF(IFERROR('Harbor Bay monthly P&amp;L and cash'!P32=""=TRUE,FALSE),TRUE,OR('Harbor Bay monthly P&amp;L and cash'!P26="",'Harbor Bay monthly P&amp;L and cash'!P32="")))="",FALSE,IF(IFERROR('Harbor Bay monthly P&amp;L and cash'!P26=""=TRUE,FALSE),TRUE,IF(IFERROR('Harbor Bay monthly P&amp;L and cash'!P32=""=TRUE,FALSE),TRUE,OR('Harbor Bay monthly P&amp;L and cash'!P26="",'Harbor Bay monthly P&amp;L and cash'!P32="")))),"",IFERROR(IF(IF(IF(ISERROR('Harbor Bay monthly P&amp;L and cash'!P26&lt;0),'Harbor Bay monthly P&amp;L and cash'!P26&lt;0,IF('Harbor Bay monthly P&amp;L and cash'!P26="","",'Harbor Bay monthly P&amp;L and cash'!P26&lt;0))="",FALSE,IF(ISERROR('Harbor Bay monthly P&amp;L and cash'!P26&lt;0),'Harbor Bay monthly P&amp;L and cash'!P26&lt;0,IF('Harbor Bay monthly P&amp;L and cash'!P26="","",'Harbor Bay monthly P&amp;L and cash'!P26&lt;0))),MAX('Harbor Bay monthly P&amp;L and cash'!P32/(0-'Harbor Bay monthly P&amp;L and cash'!P26),0),""),""))</f>
        <v/>
      </c>
    </row>
  </sheetData>
  <mergeCells count="1">
    <mergeCell ref="A1:P1"/>
  </mergeCells>
</worksheet>
</file>

<file path=xl/worksheets/sheet3.xml><?xml version="1.0" encoding="utf-8"?>
<worksheet xmlns="http://schemas.openxmlformats.org/spreadsheetml/2006/main">
  <dimension ref="A1:D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Scenario assumptions side by side</t>
        </is>
      </c>
    </row>
    <row r="2" ht="20" customHeight="1">
      <c r="A2" t="inlineStr" s="2">
        <is>
          <t xml:space="preserve">Atlas Commerce — Harbor Bay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Harbor Bay</t>
        </is>
      </c>
      <c r="C4" t="inlineStr" s="4">
        <is>
          <t xml:space="preserve">Harbor Bay &gt; Growth</t>
        </is>
      </c>
      <c r="D4" t="inlineStr" s="4">
        <is>
          <t xml:space="preserve">Harbor Bay &gt; Downside</t>
        </is>
      </c>
    </row>
    <row r="5">
      <c r="A5" t="inlineStr" s="5">
        <is>
          <t xml:space="preserve">Monthly visits</t>
        </is>
      </c>
      <c r="B5" s="6">
        <f>'Harbor Bay assumptions'!B5</f>
        <v>50000</v>
      </c>
      <c r="C5" s="6">
        <f>65000</f>
        <v>65000</v>
      </c>
      <c r="D5" s="6">
        <f>40000</f>
        <v>40000</v>
      </c>
    </row>
    <row r="6">
      <c r="A6" t="inlineStr" s="7">
        <is>
          <t xml:space="preserve">Conversion rate</t>
        </is>
      </c>
      <c r="B6" s="8">
        <f>'Harbor Bay assumptions'!B6</f>
        <v>0.025</v>
      </c>
      <c r="C6" s="8">
        <f>0.03</f>
        <v>0.03</v>
      </c>
      <c r="D6" s="8">
        <f>0.018</f>
        <v>0.018</v>
      </c>
    </row>
    <row r="7">
      <c r="A7" t="inlineStr" s="7">
        <is>
          <t xml:space="preserve">Average order value</t>
        </is>
      </c>
      <c r="B7" s="9">
        <f>'Harbor Bay assumptions'!B7</f>
        <v>85</v>
      </c>
      <c r="C7" s="9">
        <f>90</f>
        <v>90</v>
      </c>
      <c r="D7" s="9">
        <f>78</f>
        <v>78</v>
      </c>
    </row>
    <row r="8">
      <c r="A8" t="inlineStr" s="7">
        <is>
          <t xml:space="preserve">Product cost per order (provisional)</t>
        </is>
      </c>
      <c r="B8" s="9">
        <f>'Scenario assumptions side by si'!B7*'Catalog product-cost estimation'!B7</f>
        <v>42.774902975420446</v>
      </c>
      <c r="C8" s="9">
        <f>'Scenario assumptions side by si'!C7*'Model inputs'!B22</f>
        <v>45.29107373868047</v>
      </c>
      <c r="D8" s="9">
        <f>'Scenario assumptions side by si'!D7*'Model inputs'!B21</f>
        <v>39.252263906856406</v>
      </c>
    </row>
    <row r="9">
      <c r="A9" t="inlineStr" s="7">
        <is>
          <t xml:space="preserve">Fulfillment cost per order</t>
        </is>
      </c>
      <c r="B9" s="9">
        <f>'Harbor Bay assumptions'!B9</f>
        <v>12</v>
      </c>
      <c r="C9" s="9">
        <f>11</f>
        <v>11</v>
      </c>
      <c r="D9" s="9">
        <f>14</f>
        <v>14</v>
      </c>
    </row>
    <row r="10">
      <c r="A10" t="inlineStr" s="7">
        <is>
          <t xml:space="preserve">Campaign spend per month</t>
        </is>
      </c>
      <c r="B10" s="10">
        <f>'Harbor Bay assumptions'!B10</f>
        <v>15000</v>
      </c>
      <c r="C10" s="10">
        <f>20000</f>
        <v>20000</v>
      </c>
      <c r="D10" s="10">
        <f>18000</f>
        <v>18000</v>
      </c>
    </row>
    <row r="11">
      <c r="A11" t="inlineStr" s="7">
        <is>
          <t xml:space="preserve">Inference cost per month</t>
        </is>
      </c>
      <c r="B11" s="10">
        <f>'Harbor Bay assumptions'!B11</f>
        <v>3000</v>
      </c>
      <c r="C11" s="10">
        <f>3500</f>
        <v>3500</v>
      </c>
      <c r="D11" s="10">
        <f>3500</f>
        <v>3500</v>
      </c>
    </row>
    <row r="12">
      <c r="A12" t="inlineStr" s="7">
        <is>
          <t xml:space="preserve">Infrastructure cost per month (synthetic demo)</t>
        </is>
      </c>
      <c r="B12" s="10">
        <f>'Harbor Bay assumptions'!B12</f>
        <v>500</v>
      </c>
      <c r="C12" s="10">
        <f>'Harbor Bay assumptions'!B12</f>
        <v>500</v>
      </c>
      <c r="D12" s="10">
        <f>500</f>
        <v>500</v>
      </c>
    </row>
    <row r="13">
      <c r="A13" t="inlineStr" s="5">
        <is>
          <t xml:space="preserve">Opening cash (synthetic demo)</t>
        </is>
      </c>
      <c r="B13" s="11">
        <f>'Harbor Bay assumptions'!B13</f>
        <v>30000</v>
      </c>
      <c r="C13" s="11">
        <f>'Harbor Bay assumptions'!B13</f>
        <v>30000</v>
      </c>
      <c r="D13" s="11">
        <f>30000</f>
        <v>30000</v>
      </c>
    </row>
  </sheetData>
  <mergeCells count="1">
    <mergeCell ref="A1:D1"/>
  </mergeCells>
</worksheet>
</file>

<file path=xl/worksheets/sheet4.xml><?xml version="1.0" encoding="utf-8"?>
<worksheet xmlns="http://schemas.openxmlformats.org/spreadsheetml/2006/main">
  <dimension ref="A1:D1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Scenario outputs — monthly run-rate (Oct 2026)</t>
        </is>
      </c>
    </row>
    <row r="2" ht="20" customHeight="1">
      <c r="A2" t="inlineStr" s="2">
        <is>
          <t xml:space="preserve">Atlas Commerce — Harbor Bay · Base</t>
        </is>
      </c>
    </row>
    <row r="4" ht="22" customHeight="1">
      <c r="A4" t="inlineStr" s="3">
        <is>
          <t xml:space="preserve">Variable / dimension</t>
        </is>
      </c>
      <c r="B4" t="inlineStr" s="12">
        <is>
          <t xml:space="preserve">2026-10</t>
        </is>
      </c>
      <c r="C4" t="inlineStr" s="12">
        <is>
          <t xml:space="preserve">2026-10 &gt; Growth</t>
        </is>
      </c>
      <c r="D4" t="inlineStr" s="12">
        <is>
          <t xml:space="preserve">2026-10 &gt; Downside</t>
        </is>
      </c>
    </row>
    <row r="5">
      <c r="A5" t="inlineStr" s="5">
        <is>
          <t xml:space="preserve">Orders</t>
        </is>
      </c>
      <c r="B5" s="6">
        <f>SUM('Harbor Bay monthly P&amp;L and cash'!B8)</f>
        <v>1250</v>
      </c>
      <c r="C5" s="6">
        <f>SUM('Model inputs'!E64)</f>
        <v>1950</v>
      </c>
      <c r="D5" s="6">
        <f>SUM('Model inputs'!E62)</f>
        <v>720</v>
      </c>
    </row>
    <row r="6">
      <c r="A6" t="inlineStr" s="7">
        <is>
          <t xml:space="preserve">Revenue</t>
        </is>
      </c>
      <c r="B6" s="10">
        <f>SUM('Harbor Bay monthly P&amp;L and cash'!B10)</f>
        <v>106250</v>
      </c>
      <c r="C6" s="10">
        <f>SUM('Model inputs'!E74)</f>
        <v>175500</v>
      </c>
      <c r="D6" s="10">
        <f>SUM('Model inputs'!E72)</f>
        <v>56160</v>
      </c>
    </row>
    <row r="7">
      <c r="A7" t="inlineStr" s="7">
        <is>
          <t xml:space="preserve">Gross profit</t>
        </is>
      </c>
      <c r="B7" s="10">
        <f>SUM('Harbor Bay monthly P&amp;L and cash'!B16)</f>
        <v>37781.371280724445</v>
      </c>
      <c r="C7" s="10">
        <f>SUM('Model inputs'!E38)</f>
        <v>65732.40620957309</v>
      </c>
      <c r="D7" s="10">
        <f>SUM('Model inputs'!E36)</f>
        <v>17818.369987063386</v>
      </c>
    </row>
    <row r="8">
      <c r="A8" t="inlineStr" s="7">
        <is>
          <t xml:space="preserve">Gross margin</t>
        </is>
      </c>
      <c r="B8" s="16">
        <f>IFERROR('Scenario outputs — monthly run-'!B7/'Scenario outputs — monthly run-'!B6,"")</f>
        <v>0.3555893767597595</v>
      </c>
      <c r="C8" s="16">
        <f>IFERROR('Scenario outputs — monthly run-'!C7/'Scenario outputs — monthly run-'!C6,"")</f>
        <v>0.3745436251257726</v>
      </c>
      <c r="D8" s="16">
        <f>IFERROR('Scenario outputs — monthly run-'!D7/'Scenario outputs — monthly run-'!D6,"")</f>
        <v>0.31727866786081527</v>
      </c>
    </row>
    <row r="9">
      <c r="A9" t="inlineStr" s="7">
        <is>
          <t xml:space="preserve">Contribution before infrastructure (provisional)</t>
        </is>
      </c>
      <c r="B9" s="9">
        <f>'Scenario outputs — monthly run-'!B7-'Harbor Bay monthly P&amp;L and cash'!B19-'Harbor Bay monthly P&amp;L and cash'!B21</f>
        <v>19781.371280724445</v>
      </c>
      <c r="C9" s="9">
        <f>'Scenario outputs — monthly run-'!C7-'Model inputs'!E13-'Model inputs'!E44</f>
        <v>42232.40620957309</v>
      </c>
      <c r="D9" s="9">
        <f>'Scenario outputs — monthly run-'!D7-'Model inputs'!E12-'Model inputs'!E43</f>
        <v>-3681.6300129366136</v>
      </c>
    </row>
    <row r="10">
      <c r="A10" t="inlineStr" s="7">
        <is>
          <t xml:space="preserve">Contribution</t>
        </is>
      </c>
      <c r="B10" s="10">
        <f>IF('Harbor Bay monthly P&amp;L and cash'!B23="","",'Scenario outputs — monthly run-'!B7-'Harbor Bay monthly P&amp;L and cash'!B19-'Harbor Bay monthly P&amp;L and cash'!B21-'Harbor Bay monthly P&amp;L and cash'!B23)</f>
        <v>19281.371280724445</v>
      </c>
      <c r="C10" s="10">
        <f>IF('Model inputs'!E50="","",'Scenario outputs — monthly run-'!C7-'Model inputs'!E13-'Model inputs'!E44-'Model inputs'!E50)</f>
        <v>41732.40620957309</v>
      </c>
      <c r="D10" s="10">
        <f>IF('Model inputs'!E49="","",'Scenario outputs — monthly run-'!D7-'Model inputs'!E12-'Model inputs'!E43-'Model inputs'!E49)</f>
        <v>-4181.630012936614</v>
      </c>
    </row>
    <row r="11">
      <c r="A11" t="inlineStr" s="7">
        <is>
          <t xml:space="preserve">Contribution margin</t>
        </is>
      </c>
      <c r="B11" s="16">
        <f>IF('Scenario outputs — monthly run-'!B10="","",IFERROR('Scenario outputs — monthly run-'!B10/'Scenario outputs — monthly run-'!B6,""))</f>
        <v>0.18147172970093595</v>
      </c>
      <c r="C11" s="16">
        <f>IF('Scenario outputs — monthly run-'!C10="","",IFERROR('Scenario outputs — monthly run-'!C10/'Scenario outputs — monthly run-'!C6,""))</f>
        <v>0.23779148837363584</v>
      </c>
      <c r="D11" s="16">
        <f>IF('Scenario outputs — monthly run-'!D10="","",IFERROR('Scenario outputs — monthly run-'!D10/'Scenario outputs — monthly run-'!D6,""))</f>
        <v>-0.07445922387707646</v>
      </c>
    </row>
    <row r="12">
      <c r="A12" t="inlineStr" s="7">
        <is>
          <t xml:space="preserve">Campaign ROI (proxy, not causal)</t>
        </is>
      </c>
      <c r="B12" s="18">
        <f>IFERROR(('Scenario outputs — monthly run-'!B7-'Harbor Bay monthly P&amp;L and cash'!B19)/'Harbor Bay monthly P&amp;L and cash'!B19,"")</f>
        <v>1.5187580853816296</v>
      </c>
      <c r="C12" s="18">
        <f>IFERROR(('Scenario outputs — monthly run-'!C7-'Model inputs'!E13)/'Model inputs'!E13,"")</f>
        <v>2.2866203104786544</v>
      </c>
      <c r="D12" s="18">
        <f>IFERROR(('Scenario outputs — monthly run-'!D7-'Model inputs'!E12)/'Model inputs'!E12,"")</f>
        <v>-0.010090556274256313</v>
      </c>
    </row>
    <row r="13">
      <c r="A13" t="inlineStr" s="7">
        <is>
          <t xml:space="preserve">Cash balance</t>
        </is>
      </c>
      <c r="B13" s="10">
        <f>IF(IF(IF(IFERROR('Harbor Bay assumptions'!B13=""=TRUE,FALSE),TRUE,IF(IFERROR('Scenario outputs — monthly run-'!B10=""=TRUE,FALSE),TRUE,OR('Harbor Bay assumptions'!B13="",'Scenario outputs — monthly run-'!B10="")))="",FALSE,IF(IFERROR('Harbor Bay assumptions'!B13=""=TRUE,FALSE),TRUE,IF(IFERROR('Scenario outputs — monthly run-'!B10=""=TRUE,FALSE),TRUE,OR('Harbor Bay assumptions'!B13="",'Scenario outputs — monthly run-'!B10="")))),"",'Model inputs'!D16+'Scenario outputs — monthly run-'!B10)</f>
        <v>49281.371280724445</v>
      </c>
      <c r="C13" s="10">
        <f>IF(IF(IF(IFERROR('Scenario assumptions side by si'!C13=""=TRUE,FALSE),TRUE,IF(IFERROR('Scenario outputs — monthly run-'!C10=""=TRUE,FALSE),TRUE,OR('Scenario assumptions side by si'!C13="",'Scenario outputs — monthly run-'!C10="")))="",FALSE,IF(IFERROR('Scenario assumptions side by si'!C13=""=TRUE,FALSE),TRUE,IF(IFERROR('Scenario outputs — monthly run-'!C10=""=TRUE,FALSE),TRUE,OR('Scenario assumptions side by si'!C13="",'Scenario outputs — monthly run-'!C10="")))),"",'Model inputs'!D19+'Scenario outputs — monthly run-'!C10)</f>
        <v>71732.40620957309</v>
      </c>
      <c r="D13" s="10">
        <f>IF(IF(IF(IFERROR('Scenario assumptions side by si'!D13=""=TRUE,FALSE),TRUE,IF(IFERROR('Scenario outputs — monthly run-'!D10=""=TRUE,FALSE),TRUE,OR('Scenario assumptions side by si'!D13="",'Scenario outputs — monthly run-'!D10="")))="",FALSE,IF(IFERROR('Scenario assumptions side by si'!D13=""=TRUE,FALSE),TRUE,IF(IFERROR('Scenario outputs — monthly run-'!D10=""=TRUE,FALSE),TRUE,OR('Scenario assumptions side by si'!D13="",'Scenario outputs — monthly run-'!D10="")))),"",'Model inputs'!D18+'Scenario outputs — monthly run-'!D10)</f>
        <v>25818.369987063386</v>
      </c>
    </row>
    <row r="14">
      <c r="A14" t="inlineStr" s="5">
        <is>
          <t xml:space="preserve">Runway (months, loss cases only)</t>
        </is>
      </c>
      <c r="B14" t="str" s="19">
        <f>IF(IF(IF(IFERROR('Scenario outputs — monthly run-'!B10=""=TRUE,FALSE),TRUE,IF(IFERROR('Scenario outputs — monthly run-'!B13=""=TRUE,FALSE),TRUE,OR('Scenario outputs — monthly run-'!B10="",'Scenario outputs — monthly run-'!B13="")))="",FALSE,IF(IFERROR('Scenario outputs — monthly run-'!B10=""=TRUE,FALSE),TRUE,IF(IFERROR('Scenario outputs — monthly run-'!B13=""=TRUE,FALSE),TRUE,OR('Scenario outputs — monthly run-'!B10="",'Scenario outputs — monthly run-'!B13="")))),"",IFERROR(IF(IF(IF(ISERROR('Scenario outputs — monthly run-'!B10&lt;0),'Scenario outputs — monthly run-'!B10&lt;0,IF('Scenario outputs — monthly run-'!B10="","",'Scenario outputs — monthly run-'!B10&lt;0))="",FALSE,IF(ISERROR('Scenario outputs — monthly run-'!B10&lt;0),'Scenario outputs — monthly run-'!B10&lt;0,IF('Scenario outputs — monthly run-'!B10="","",'Scenario outputs — monthly run-'!B10&lt;0))),MAX('Scenario outputs — monthly run-'!B13/(0-'Scenario outputs — monthly run-'!B10),0),""),""))</f>
        <v/>
      </c>
      <c r="C14" t="str" s="19">
        <f>IF(IF(IF(IFERROR('Scenario outputs — monthly run-'!C10=""=TRUE,FALSE),TRUE,IF(IFERROR('Scenario outputs — monthly run-'!C13=""=TRUE,FALSE),TRUE,OR('Scenario outputs — monthly run-'!C10="",'Scenario outputs — monthly run-'!C13="")))="",FALSE,IF(IFERROR('Scenario outputs — monthly run-'!C10=""=TRUE,FALSE),TRUE,IF(IFERROR('Scenario outputs — monthly run-'!C13=""=TRUE,FALSE),TRUE,OR('Scenario outputs — monthly run-'!C10="",'Scenario outputs — monthly run-'!C13="")))),"",IFERROR(IF(IF(IF(ISERROR('Scenario outputs — monthly run-'!C10&lt;0),'Scenario outputs — monthly run-'!C10&lt;0,IF('Scenario outputs — monthly run-'!C10="","",'Scenario outputs — monthly run-'!C10&lt;0))="",FALSE,IF(ISERROR('Scenario outputs — monthly run-'!C10&lt;0),'Scenario outputs — monthly run-'!C10&lt;0,IF('Scenario outputs — monthly run-'!C10="","",'Scenario outputs — monthly run-'!C10&lt;0))),MAX('Scenario outputs — monthly run-'!C13/(0-'Scenario outputs — monthly run-'!C10),0),""),""))</f>
        <v/>
      </c>
      <c r="D14" s="19">
        <f>IF(IF(IF(IFERROR('Scenario outputs — monthly run-'!D10=""=TRUE,FALSE),TRUE,IF(IFERROR('Scenario outputs — monthly run-'!D13=""=TRUE,FALSE),TRUE,OR('Scenario outputs — monthly run-'!D10="",'Scenario outputs — monthly run-'!D13="")))="",FALSE,IF(IFERROR('Scenario outputs — monthly run-'!D10=""=TRUE,FALSE),TRUE,IF(IFERROR('Scenario outputs — monthly run-'!D13=""=TRUE,FALSE),TRUE,OR('Scenario outputs — monthly run-'!D10="",'Scenario outputs — monthly run-'!D13="")))),"",IFERROR(IF(IF(IF(ISERROR('Scenario outputs — monthly run-'!D10&lt;0),'Scenario outputs — monthly run-'!D10&lt;0,IF('Scenario outputs — monthly run-'!D10="","",'Scenario outputs — monthly run-'!D10&lt;0))="",FALSE,IF(ISERROR('Scenario outputs — monthly run-'!D10&lt;0),'Scenario outputs — monthly run-'!D10&lt;0,IF('Scenario outputs — monthly run-'!D10="","",'Scenario outputs — monthly run-'!D10&lt;0))),MAX('Scenario outputs — monthly run-'!D13/(0-'Scenario outputs — monthly run-'!D10),0),""),""))</f>
        <v>6.174235861898275</v>
      </c>
    </row>
  </sheetData>
  <mergeCells count="1">
    <mergeCell ref="A1:D1"/>
  </mergeCells>
</worksheet>
</file>

<file path=xl/worksheets/sheet5.xml><?xml version="1.0" encoding="utf-8"?>
<worksheet xmlns="http://schemas.openxmlformats.org/spreadsheetml/2006/main">
  <dimension ref="A1:H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</cols>
  <sheetData>
    <row r="1" ht="32" customHeight="1">
      <c r="A1" t="inlineStr" s="1">
        <is>
          <t xml:space="preserve">Seed product catalog — provisional equal-unit mix</t>
        </is>
      </c>
    </row>
    <row r="2" ht="20" customHeight="1">
      <c r="A2" t="inlineStr" s="2">
        <is>
          <t xml:space="preserve">Atlas Commerce — Harbor Bay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Catalog product name</t>
        </is>
      </c>
      <c r="C4" t="inlineStr" s="4">
        <is>
          <t xml:space="preserve">Catalog price</t>
        </is>
      </c>
      <c r="D4" t="inlineStr" s="4">
        <is>
          <t xml:space="preserve">Catalog cost</t>
        </is>
      </c>
      <c r="E4" t="inlineStr" s="4">
        <is>
          <t xml:space="preserve">Seed base popularity</t>
        </is>
      </c>
      <c r="F4" t="inlineStr" s="4">
        <is>
          <t xml:space="preserve">Assumed unit mix weight (provisional)</t>
        </is>
      </c>
      <c r="G4" t="inlineStr" s="4">
        <is>
          <t xml:space="preserve">Weighted catalog price</t>
        </is>
      </c>
      <c r="H4" t="inlineStr" s="4">
        <is>
          <t xml:space="preserve">Weighted catalog cost</t>
        </is>
      </c>
    </row>
    <row r="5">
      <c r="A5" t="inlineStr" s="5">
        <is>
          <t xml:space="preserve">boots</t>
        </is>
      </c>
      <c r="B5" t="str" s="21">
        <f>"Trail Boots"</f>
        <v>Trail Boots</v>
      </c>
      <c r="C5" s="22">
        <f>120</f>
        <v>120</v>
      </c>
      <c r="D5" s="22">
        <f>65</f>
        <v>65</v>
      </c>
      <c r="E5" s="21">
        <f>3</f>
        <v>3</v>
      </c>
      <c r="F5" s="21">
        <f>1</f>
        <v>1</v>
      </c>
      <c r="G5" s="21">
        <f>'Seed product catalog — provisio'!C5*'Seed product catalog — provisio'!F5</f>
        <v>120</v>
      </c>
      <c r="H5" s="21">
        <f>'Seed product catalog — provisio'!D5*'Seed product catalog — provisio'!F5</f>
        <v>65</v>
      </c>
    </row>
    <row r="6">
      <c r="A6" t="inlineStr" s="7">
        <is>
          <t xml:space="preserve">bottle</t>
        </is>
      </c>
      <c r="B6" t="str" s="23">
        <f>"Insulated Bottle"</f>
        <v>Insulated Bottle</v>
      </c>
      <c r="C6" s="9">
        <f>35</f>
        <v>35</v>
      </c>
      <c r="D6" s="9">
        <f>15</f>
        <v>15</v>
      </c>
      <c r="E6" s="23">
        <f>3</f>
        <v>3</v>
      </c>
      <c r="F6" s="23">
        <f>1</f>
        <v>1</v>
      </c>
      <c r="G6" s="23">
        <f>'Seed product catalog — provisio'!C6*'Seed product catalog — provisio'!F6</f>
        <v>35</v>
      </c>
      <c r="H6" s="23">
        <f>'Seed product catalog — provisio'!D6*'Seed product catalog — provisio'!F6</f>
        <v>15</v>
      </c>
    </row>
    <row r="7">
      <c r="A7" t="inlineStr" s="7">
        <is>
          <t xml:space="preserve">charger</t>
        </is>
      </c>
      <c r="B7" t="str" s="23">
        <f>"Portable Charger 20000mAh"</f>
        <v>Portable Charger 20000mAh</v>
      </c>
      <c r="C7" s="9">
        <f>45</f>
        <v>45</v>
      </c>
      <c r="D7" s="9">
        <f>22</f>
        <v>22</v>
      </c>
      <c r="E7" s="23">
        <f>2</f>
        <v>2</v>
      </c>
      <c r="F7" s="23">
        <f>1</f>
        <v>1</v>
      </c>
      <c r="G7" s="23">
        <f>'Seed product catalog — provisio'!C7*'Seed product catalog — provisio'!F7</f>
        <v>45</v>
      </c>
      <c r="H7" s="23">
        <f>'Seed product catalog — provisio'!D7*'Seed product catalog — provisio'!F7</f>
        <v>22</v>
      </c>
    </row>
    <row r="8">
      <c r="A8" t="inlineStr" s="7">
        <is>
          <t xml:space="preserve">lights</t>
        </is>
      </c>
      <c r="B8" t="str" s="23">
        <f>"LED String Lights"</f>
        <v>LED String Lights</v>
      </c>
      <c r="C8" s="9">
        <f>18</f>
        <v>18</v>
      </c>
      <c r="D8" s="9">
        <f>7</f>
        <v>7</v>
      </c>
      <c r="E8" s="23">
        <f>1</f>
        <v>1</v>
      </c>
      <c r="F8" s="23">
        <f>1</f>
        <v>1</v>
      </c>
      <c r="G8" s="23">
        <f>'Seed product catalog — provisio'!C8*'Seed product catalog — provisio'!F8</f>
        <v>18</v>
      </c>
      <c r="H8" s="23">
        <f>'Seed product catalog — provisio'!D8*'Seed product catalog — provisio'!F8</f>
        <v>7</v>
      </c>
    </row>
    <row r="9">
      <c r="A9" t="inlineStr" s="7">
        <is>
          <t xml:space="preserve">pack</t>
        </is>
      </c>
      <c r="B9" t="str" s="23">
        <f>"Hiking Pack 45L"</f>
        <v>Hiking Pack 45L</v>
      </c>
      <c r="C9" s="9">
        <f>160</f>
        <v>160</v>
      </c>
      <c r="D9" s="9">
        <f>85</f>
        <v>85</v>
      </c>
      <c r="E9" s="23">
        <f>2</f>
        <v>2</v>
      </c>
      <c r="F9" s="23">
        <f>1</f>
        <v>1</v>
      </c>
      <c r="G9" s="23">
        <f>'Seed product catalog — provisio'!C9*'Seed product catalog — provisio'!F9</f>
        <v>160</v>
      </c>
      <c r="H9" s="23">
        <f>'Seed product catalog — provisio'!D9*'Seed product catalog — provisio'!F9</f>
        <v>85</v>
      </c>
    </row>
    <row r="10">
      <c r="A10" t="inlineStr" s="7">
        <is>
          <t xml:space="preserve">poles</t>
        </is>
      </c>
      <c r="B10" t="str" s="23">
        <f>"Trekking Poles"</f>
        <v>Trekking Poles</v>
      </c>
      <c r="C10" s="9">
        <f>90</f>
        <v>90</v>
      </c>
      <c r="D10" s="9">
        <f>45</f>
        <v>45</v>
      </c>
      <c r="E10" s="23">
        <f>1</f>
        <v>1</v>
      </c>
      <c r="F10" s="23">
        <f>1</f>
        <v>1</v>
      </c>
      <c r="G10" s="23">
        <f>'Seed product catalog — provisio'!C10*'Seed product catalog — provisio'!F10</f>
        <v>90</v>
      </c>
      <c r="H10" s="23">
        <f>'Seed product catalog — provisio'!D10*'Seed product catalog — provisio'!F10</f>
        <v>45</v>
      </c>
    </row>
    <row r="11">
      <c r="A11" t="inlineStr" s="7">
        <is>
          <t xml:space="preserve">pouch</t>
        </is>
      </c>
      <c r="B11" t="str" s="23">
        <f>"Festival Phone Pouch"</f>
        <v>Festival Phone Pouch</v>
      </c>
      <c r="C11" s="9">
        <f>25</f>
        <v>25</v>
      </c>
      <c r="D11" s="9">
        <f>10</f>
        <v>10</v>
      </c>
      <c r="E11" s="23">
        <f>1</f>
        <v>1</v>
      </c>
      <c r="F11" s="23">
        <f>1</f>
        <v>1</v>
      </c>
      <c r="G11" s="23">
        <f>'Seed product catalog — provisio'!C11*'Seed product catalog — provisio'!F11</f>
        <v>25</v>
      </c>
      <c r="H11" s="23">
        <f>'Seed product catalog — provisio'!D11*'Seed product catalog — provisio'!F11</f>
        <v>10</v>
      </c>
    </row>
    <row r="12">
      <c r="A12" t="inlineStr" s="5">
        <is>
          <t xml:space="preserve">tent</t>
        </is>
      </c>
      <c r="B12" t="str" s="21">
        <f>"Backpacking Tent"</f>
        <v>Backpacking Tent</v>
      </c>
      <c r="C12" s="22">
        <f>280</f>
        <v>280</v>
      </c>
      <c r="D12" s="22">
        <f>140</f>
        <v>140</v>
      </c>
      <c r="E12" s="21">
        <f>2</f>
        <v>2</v>
      </c>
      <c r="F12" s="21">
        <f>1</f>
        <v>1</v>
      </c>
      <c r="G12" s="21">
        <f>'Seed product catalog — provisio'!C12*'Seed product catalog — provisio'!F12</f>
        <v>280</v>
      </c>
      <c r="H12" s="21">
        <f>'Seed product catalog — provisio'!D12*'Seed product catalog — provisio'!F12</f>
        <v>140</v>
      </c>
    </row>
  </sheetData>
  <mergeCells count="1">
    <mergeCell ref="A1:H1"/>
  </mergeCells>
</worksheet>
</file>

<file path=xl/worksheets/sheet6.xml><?xml version="1.0" encoding="utf-8"?>
<worksheet xmlns="http://schemas.openxmlformats.org/spreadsheetml/2006/main">
  <dimension ref="A1:B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Catalog product-cost estimation method</t>
        </is>
      </c>
    </row>
    <row r="2" ht="20" customHeight="1">
      <c r="A2" t="inlineStr" s="2">
        <is>
          <t xml:space="preserve">Atlas Commerce — Harbor Bay ·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Assumed basket price total</t>
        </is>
      </c>
      <c r="B5" s="21">
        <f>SUM('Seed product catalog — provisio'!G5,'Seed product catalog — provisio'!G6,'Seed product catalog — provisio'!G7,'Seed product catalog — provisio'!G8,'Seed product catalog — provisio'!G9,'Seed product catalog — provisio'!G10,'Seed product catalog — provisio'!G11,'Seed product catalog — provisio'!G12)</f>
        <v>773</v>
      </c>
    </row>
    <row r="6">
      <c r="A6" t="inlineStr" s="7">
        <is>
          <t xml:space="preserve">Assumed basket cost total</t>
        </is>
      </c>
      <c r="B6" s="23">
        <f>SUM('Seed product catalog — provisio'!H5,'Seed product catalog — provisio'!H6,'Seed product catalog — provisio'!H7,'Seed product catalog — provisio'!H8,'Seed product catalog — provisio'!H9,'Seed product catalog — provisio'!H10,'Seed product catalog — provisio'!H11,'Seed product catalog — provisio'!H12)</f>
        <v>389</v>
      </c>
    </row>
    <row r="7">
      <c r="A7" t="inlineStr" s="5">
        <is>
          <t xml:space="preserve">Catalog cost-to-sales ratio (provisional)</t>
        </is>
      </c>
      <c r="B7" s="24">
        <f>IFERROR('Catalog product-cost estimation'!B6/'Catalog product-cost estimation'!B5,"")</f>
        <v>0.5032341526520052</v>
      </c>
    </row>
  </sheetData>
  <mergeCells count="1">
    <mergeCell ref="A1:B1"/>
  </mergeCells>
</worksheet>
</file>

<file path=xl/worksheets/sheet7.xml><?xml version="1.0" encoding="utf-8"?>
<worksheet xmlns="http://schemas.openxmlformats.org/spreadsheetml/2006/main">
  <dimension ref="A1:P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Known-cost contribution and coverage</t>
        </is>
      </c>
    </row>
    <row r="2" ht="20" customHeight="1">
      <c r="A2" t="inlineStr" s="2">
        <is>
          <t xml:space="preserve">Atlas Commerce — Harbor Bay · Base</t>
        </is>
      </c>
    </row>
    <row r="4" ht="22" customHeight="1">
      <c r="A4" t="inlineStr" s="3">
        <is>
          <t xml:space="preserve">Variable / dimension</t>
        </is>
      </c>
      <c r="B4" t="inlineStr" s="12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2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2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2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12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</row>
    <row r="5">
      <c r="A5" t="inlineStr" s="5">
        <is>
          <t xml:space="preserve">Contribution before infrastructure (provisional)</t>
        </is>
      </c>
      <c r="B5" s="22">
        <f>'Harbor Bay monthly P&amp;L and cash'!B15-'Harbor Bay monthly P&amp;L and cash'!B19-'Harbor Bay monthly P&amp;L and cash'!B21</f>
        <v>19781.371280724445</v>
      </c>
      <c r="C5" s="22">
        <f>'Harbor Bay monthly P&amp;L and cash'!C15-'Harbor Bay monthly P&amp;L and cash'!C19-'Harbor Bay monthly P&amp;L and cash'!C21</f>
        <v>19781.371280724445</v>
      </c>
      <c r="D5" s="22">
        <f>'Harbor Bay monthly P&amp;L and cash'!D15-'Harbor Bay monthly P&amp;L and cash'!D19-'Harbor Bay monthly P&amp;L and cash'!D21</f>
        <v>19781.371280724445</v>
      </c>
      <c r="E5" s="22">
        <f>'Harbor Bay monthly P&amp;L and cash'!E15-'Harbor Bay monthly P&amp;L and cash'!E19-'Harbor Bay monthly P&amp;L and cash'!E21</f>
        <v>19781.371280724445</v>
      </c>
      <c r="F5" s="22">
        <f>'Harbor Bay monthly P&amp;L and cash'!F15-'Harbor Bay monthly P&amp;L and cash'!F19-'Harbor Bay monthly P&amp;L and cash'!F21</f>
        <v>19781.371280724445</v>
      </c>
      <c r="G5" s="22">
        <f>'Harbor Bay monthly P&amp;L and cash'!G15-'Harbor Bay monthly P&amp;L and cash'!G19-'Harbor Bay monthly P&amp;L and cash'!G21</f>
        <v>19781.371280724445</v>
      </c>
      <c r="H5" s="22">
        <f>'Harbor Bay monthly P&amp;L and cash'!H15-'Harbor Bay monthly P&amp;L and cash'!H19-'Harbor Bay monthly P&amp;L and cash'!H21</f>
        <v>19781.371280724445</v>
      </c>
      <c r="I5" s="22">
        <f>'Harbor Bay monthly P&amp;L and cash'!I15-'Harbor Bay monthly P&amp;L and cash'!I19-'Harbor Bay monthly P&amp;L and cash'!I21</f>
        <v>19781.371280724445</v>
      </c>
      <c r="J5" s="22">
        <f>'Harbor Bay monthly P&amp;L and cash'!J15-'Harbor Bay monthly P&amp;L and cash'!J19-'Harbor Bay monthly P&amp;L and cash'!J21</f>
        <v>19781.371280724445</v>
      </c>
      <c r="K5" s="22">
        <f>'Harbor Bay monthly P&amp;L and cash'!K15-'Harbor Bay monthly P&amp;L and cash'!K19-'Harbor Bay monthly P&amp;L and cash'!K21</f>
        <v>19781.371280724445</v>
      </c>
      <c r="L5" s="22">
        <f>'Harbor Bay monthly P&amp;L and cash'!L15-'Harbor Bay monthly P&amp;L and cash'!L19-'Harbor Bay monthly P&amp;L and cash'!L21</f>
        <v>19781.371280724445</v>
      </c>
      <c r="M5" s="22">
        <f>'Harbor Bay monthly P&amp;L and cash'!M15-'Harbor Bay monthly P&amp;L and cash'!M19-'Harbor Bay monthly P&amp;L and cash'!M21</f>
        <v>19781.371280724445</v>
      </c>
      <c r="N5" s="22">
        <f>'Harbor Bay monthly P&amp;L and cash'!N15-'Harbor Bay monthly P&amp;L and cash'!N19-'Harbor Bay monthly P&amp;L and cash'!N21</f>
        <v>19781.371280724445</v>
      </c>
      <c r="O5" s="22">
        <f>'Harbor Bay monthly P&amp;L and cash'!O15-'Harbor Bay monthly P&amp;L and cash'!O19-'Harbor Bay monthly P&amp;L and cash'!O21</f>
        <v>19781.371280724445</v>
      </c>
      <c r="P5" s="22">
        <f>'Harbor Bay monthly P&amp;L and cash'!P15-'Harbor Bay monthly P&amp;L and cash'!P19-'Harbor Bay monthly P&amp;L and cash'!P21</f>
        <v>19781.371280724445</v>
      </c>
    </row>
    <row r="6" outlineLevel="1">
      <c r="A6" t="inlineStr" s="13">
        <is>
          <t xml:space="preserve">Harbor Bay</t>
        </is>
      </c>
      <c r="B6" s="9">
        <f>'Harbor Bay monthly P&amp;L and cash'!B16-'Harbor Bay monthly P&amp;L and cash'!B20-'Harbor Bay monthly P&amp;L and cash'!B22</f>
        <v>19781.371280724445</v>
      </c>
      <c r="C6" s="9">
        <f>'Harbor Bay monthly P&amp;L and cash'!C16-'Harbor Bay monthly P&amp;L and cash'!C20-'Harbor Bay monthly P&amp;L and cash'!C22</f>
        <v>19781.371280724445</v>
      </c>
      <c r="D6" s="9">
        <f>'Harbor Bay monthly P&amp;L and cash'!D16-'Harbor Bay monthly P&amp;L and cash'!D20-'Harbor Bay monthly P&amp;L and cash'!D22</f>
        <v>19781.371280724445</v>
      </c>
      <c r="E6" s="9">
        <f>'Harbor Bay monthly P&amp;L and cash'!E16-'Harbor Bay monthly P&amp;L and cash'!E20-'Harbor Bay monthly P&amp;L and cash'!E22</f>
        <v>19781.371280724445</v>
      </c>
      <c r="F6" s="9">
        <f>'Harbor Bay monthly P&amp;L and cash'!F16-'Harbor Bay monthly P&amp;L and cash'!F20-'Harbor Bay monthly P&amp;L and cash'!F22</f>
        <v>19781.371280724445</v>
      </c>
      <c r="G6" s="9">
        <f>'Harbor Bay monthly P&amp;L and cash'!G16-'Harbor Bay monthly P&amp;L and cash'!G20-'Harbor Bay monthly P&amp;L and cash'!G22</f>
        <v>19781.371280724445</v>
      </c>
      <c r="H6" s="9">
        <f>'Harbor Bay monthly P&amp;L and cash'!H16-'Harbor Bay monthly P&amp;L and cash'!H20-'Harbor Bay monthly P&amp;L and cash'!H22</f>
        <v>19781.371280724445</v>
      </c>
      <c r="I6" s="9">
        <f>'Harbor Bay monthly P&amp;L and cash'!I16-'Harbor Bay monthly P&amp;L and cash'!I20-'Harbor Bay monthly P&amp;L and cash'!I22</f>
        <v>19781.371280724445</v>
      </c>
      <c r="J6" s="9">
        <f>'Harbor Bay monthly P&amp;L and cash'!J16-'Harbor Bay monthly P&amp;L and cash'!J20-'Harbor Bay monthly P&amp;L and cash'!J22</f>
        <v>19781.371280724445</v>
      </c>
      <c r="K6" s="9">
        <f>'Harbor Bay monthly P&amp;L and cash'!K16-'Harbor Bay monthly P&amp;L and cash'!K20-'Harbor Bay monthly P&amp;L and cash'!K22</f>
        <v>19781.371280724445</v>
      </c>
      <c r="L6" s="9">
        <f>'Harbor Bay monthly P&amp;L and cash'!L16-'Harbor Bay monthly P&amp;L and cash'!L20-'Harbor Bay monthly P&amp;L and cash'!L22</f>
        <v>19781.371280724445</v>
      </c>
      <c r="M6" s="9">
        <f>'Harbor Bay monthly P&amp;L and cash'!M16-'Harbor Bay monthly P&amp;L and cash'!M20-'Harbor Bay monthly P&amp;L and cash'!M22</f>
        <v>19781.371280724445</v>
      </c>
      <c r="N6" s="9">
        <f>'Harbor Bay monthly P&amp;L and cash'!N16-'Harbor Bay monthly P&amp;L and cash'!N20-'Harbor Bay monthly P&amp;L and cash'!N22</f>
        <v>19781.371280724445</v>
      </c>
      <c r="O6" s="9">
        <f>'Harbor Bay monthly P&amp;L and cash'!O16-'Harbor Bay monthly P&amp;L and cash'!O20-'Harbor Bay monthly P&amp;L and cash'!O22</f>
        <v>19781.371280724445</v>
      </c>
      <c r="P6" s="9">
        <f>'Harbor Bay monthly P&amp;L and cash'!P16-'Harbor Bay monthly P&amp;L and cash'!P20-'Harbor Bay monthly P&amp;L and cash'!P22</f>
        <v>19781.371280724445</v>
      </c>
    </row>
    <row r="7">
      <c r="A7" t="inlineStr" s="5">
        <is>
          <t xml:space="preserve">Seed projected profit (inconsistent, not an output)</t>
        </is>
      </c>
      <c r="B7" t="str" s="21">
        <f>"UNRESOLVED: $125,000 seed projection exceeds $106,250 base revenue"</f>
        <v>UNRESOLVED: $125,000 seed projection exceeds $106,250 base revenue</v>
      </c>
      <c r="C7" t="str" s="21">
        <f>"UNRESOLVED: $125,000 seed projection exceeds $106,250 base revenue"</f>
        <v>UNRESOLVED: $125,000 seed projection exceeds $106,250 base revenue</v>
      </c>
      <c r="D7" t="str" s="21">
        <f>"UNRESOLVED: $125,000 seed projection exceeds $106,250 base revenue"</f>
        <v>UNRESOLVED: $125,000 seed projection exceeds $106,250 base revenue</v>
      </c>
      <c r="E7" t="str" s="21">
        <f>"UNRESOLVED: $125,000 seed projection exceeds $106,250 base revenue"</f>
        <v>UNRESOLVED: $125,000 seed projection exceeds $106,250 base revenue</v>
      </c>
      <c r="F7" t="str" s="21">
        <f>"UNRESOLVED: $125,000 seed projection exceeds $106,250 base revenue"</f>
        <v>UNRESOLVED: $125,000 seed projection exceeds $106,250 base revenue</v>
      </c>
      <c r="G7" t="str" s="21">
        <f>"UNRESOLVED: $125,000 seed projection exceeds $106,250 base revenue"</f>
        <v>UNRESOLVED: $125,000 seed projection exceeds $106,250 base revenue</v>
      </c>
      <c r="H7" t="str" s="21">
        <f>"UNRESOLVED: $125,000 seed projection exceeds $106,250 base revenue"</f>
        <v>UNRESOLVED: $125,000 seed projection exceeds $106,250 base revenue</v>
      </c>
      <c r="I7" t="str" s="21">
        <f>"UNRESOLVED: $125,000 seed projection exceeds $106,250 base revenue"</f>
        <v>UNRESOLVED: $125,000 seed projection exceeds $106,250 base revenue</v>
      </c>
      <c r="J7" t="str" s="21">
        <f>"UNRESOLVED: $125,000 seed projection exceeds $106,250 base revenue"</f>
        <v>UNRESOLVED: $125,000 seed projection exceeds $106,250 base revenue</v>
      </c>
      <c r="K7" t="str" s="21">
        <f>"UNRESOLVED: $125,000 seed projection exceeds $106,250 base revenue"</f>
        <v>UNRESOLVED: $125,000 seed projection exceeds $106,250 base revenue</v>
      </c>
      <c r="L7" t="str" s="21">
        <f>"UNRESOLVED: $125,000 seed projection exceeds $106,250 base revenue"</f>
        <v>UNRESOLVED: $125,000 seed projection exceeds $106,250 base revenue</v>
      </c>
      <c r="M7" t="str" s="21">
        <f>"UNRESOLVED: $125,000 seed projection exceeds $106,250 base revenue"</f>
        <v>UNRESOLVED: $125,000 seed projection exceeds $106,250 base revenue</v>
      </c>
      <c r="N7" t="str" s="21">
        <f>"UNRESOLVED: $125,000 seed projection exceeds $106,250 base revenue"</f>
        <v>UNRESOLVED: $125,000 seed projection exceeds $106,250 base revenue</v>
      </c>
      <c r="O7" t="str" s="21">
        <f>"UNRESOLVED: $125,000 seed projection exceeds $106,250 base revenue"</f>
        <v>UNRESOLVED: $125,000 seed projection exceeds $106,250 base revenue</v>
      </c>
      <c r="P7" t="str" s="21">
        <f>"UNRESOLVED: $125,000 seed projection exceeds $106,250 base revenue"</f>
        <v>UNRESOLVED: $125,000 seed projection exceeds $106,250 base revenue</v>
      </c>
    </row>
  </sheetData>
  <mergeCells count="1">
    <mergeCell ref="A1:P1"/>
  </mergeCells>
</worksheet>
</file>

<file path=xl/worksheets/sheet8.xml><?xml version="1.0" encoding="utf-8"?>
<worksheet xmlns="http://schemas.openxmlformats.org/spreadsheetml/2006/main">
  <dimension ref="A1:S309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5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Value</t>
        </is>
      </c>
      <c r="D5" t="inlineStr" s="4">
        <is>
          <t xml:space="preserve">2026-09</t>
        </is>
      </c>
      <c r="E5" t="inlineStr" s="12">
        <is>
          <t xml:space="preserve">2026-10</t>
        </is>
      </c>
      <c r="F5" t="inlineStr" s="4">
        <is>
          <t xml:space="preserve">2026-11</t>
        </is>
      </c>
      <c r="G5" t="inlineStr" s="4">
        <is>
          <t xml:space="preserve">2026-12</t>
        </is>
      </c>
      <c r="H5" t="inlineStr" s="12">
        <is>
          <t xml:space="preserve">2027-01</t>
        </is>
      </c>
      <c r="I5" t="inlineStr" s="4">
        <is>
          <t xml:space="preserve">2027-02</t>
        </is>
      </c>
      <c r="J5" t="inlineStr" s="4">
        <is>
          <t xml:space="preserve">2027-03</t>
        </is>
      </c>
      <c r="K5" t="inlineStr" s="12">
        <is>
          <t xml:space="preserve">2027-04</t>
        </is>
      </c>
      <c r="L5" t="inlineStr" s="4">
        <is>
          <t xml:space="preserve">2027-05</t>
        </is>
      </c>
      <c r="M5" t="inlineStr" s="4">
        <is>
          <t xml:space="preserve">2027-06</t>
        </is>
      </c>
      <c r="N5" t="inlineStr" s="12">
        <is>
          <t xml:space="preserve">2027-07</t>
        </is>
      </c>
      <c r="O5" t="inlineStr" s="4">
        <is>
          <t xml:space="preserve">2027-08</t>
        </is>
      </c>
      <c r="P5" t="inlineStr" s="4">
        <is>
          <t xml:space="preserve">2027-09</t>
        </is>
      </c>
      <c r="Q5" t="inlineStr" s="12">
        <is>
          <t xml:space="preserve">2027-10</t>
        </is>
      </c>
      <c r="R5" t="inlineStr" s="4">
        <is>
          <t xml:space="preserve">2027-11</t>
        </is>
      </c>
      <c r="S5" t="inlineStr" s="4">
        <is>
          <t xml:space="preserve">2027-12</t>
        </is>
      </c>
    </row>
    <row r="6">
      <c r="A6" t="inlineStr" s="26">
        <is>
          <t xml:space="preserve">Average order value</t>
        </is>
      </c>
      <c r="B6" s="22">
        <f>SUM('Model inputs'!B7)</f>
        <v>85</v>
      </c>
    </row>
    <row r="7" outlineLevel="1">
      <c r="A7" t="inlineStr" s="27">
        <is>
          <t xml:space="preserve">Average order value &gt; Harbor Bay</t>
        </is>
      </c>
      <c r="B7" s="9">
        <f>'Harbor Bay assumptions'!B7</f>
        <v>85</v>
      </c>
    </row>
    <row r="8">
      <c r="A8" t="inlineStr" s="26">
        <is>
          <t xml:space="preserve">Average order value</t>
        </is>
      </c>
      <c r="C8" s="22">
        <f>SUM('Model inputs'!B7)</f>
        <v>85</v>
      </c>
    </row>
    <row r="9" outlineLevel="1">
      <c r="A9" t="inlineStr" s="27">
        <is>
          <t xml:space="preserve">Average order value &gt; Harbor Bay</t>
        </is>
      </c>
      <c r="C9" s="9">
        <f>'Harbor Bay assumptions'!B7</f>
        <v>85</v>
      </c>
    </row>
    <row r="10">
      <c r="A10" t="inlineStr" s="26">
        <is>
          <t xml:space="preserve">Campaign expense</t>
        </is>
      </c>
      <c r="D10" s="11">
        <f>SUM('Model inputs'!D11)</f>
        <v>0</v>
      </c>
      <c r="E10" s="11">
        <f>SUM('Model inputs'!E11)</f>
        <v>15000</v>
      </c>
      <c r="F10" s="11">
        <f>SUM('Model inputs'!F11)</f>
        <v>15000</v>
      </c>
      <c r="G10" s="11">
        <f>SUM('Model inputs'!G11)</f>
        <v>15000</v>
      </c>
      <c r="H10" s="11">
        <f>SUM('Model inputs'!H11)</f>
        <v>15000</v>
      </c>
      <c r="I10" s="11">
        <f>SUM('Model inputs'!I11)</f>
        <v>15000</v>
      </c>
      <c r="J10" s="11">
        <f>SUM('Model inputs'!J11)</f>
        <v>15000</v>
      </c>
      <c r="K10" s="11">
        <f>SUM('Model inputs'!K11)</f>
        <v>15000</v>
      </c>
      <c r="L10" s="11">
        <f>SUM('Model inputs'!L11)</f>
        <v>15000</v>
      </c>
      <c r="M10" s="11">
        <f>SUM('Model inputs'!M11)</f>
        <v>15000</v>
      </c>
      <c r="N10" s="11">
        <f>SUM('Model inputs'!N11)</f>
        <v>15000</v>
      </c>
      <c r="O10" s="11">
        <f>SUM('Model inputs'!O11)</f>
        <v>15000</v>
      </c>
      <c r="P10" s="11">
        <f>SUM('Model inputs'!P11)</f>
        <v>15000</v>
      </c>
      <c r="Q10" s="11">
        <f>SUM('Model inputs'!Q11)</f>
        <v>15000</v>
      </c>
      <c r="R10" s="11">
        <f>SUM('Model inputs'!R11)</f>
        <v>15000</v>
      </c>
      <c r="S10" s="11">
        <f>SUM('Model inputs'!S11)</f>
        <v>15000</v>
      </c>
    </row>
    <row r="11" outlineLevel="1">
      <c r="A11" t="inlineStr" s="27">
        <is>
          <t xml:space="preserve">Campaign expense &gt; Harbor Bay</t>
        </is>
      </c>
      <c r="D11" s="10">
        <f>0</f>
        <v>0</v>
      </c>
      <c r="E11" s="10">
        <f>IF('Model inputs'!C15="","",'Model inputs'!C15)</f>
        <v>15000</v>
      </c>
      <c r="F11" s="10">
        <f>IF('Model inputs'!C15="","",'Model inputs'!C15)</f>
        <v>15000</v>
      </c>
      <c r="G11" s="10">
        <f>IF('Model inputs'!C15="","",'Model inputs'!C15)</f>
        <v>15000</v>
      </c>
      <c r="H11" s="10">
        <f>IF('Model inputs'!C15="","",'Model inputs'!C15)</f>
        <v>15000</v>
      </c>
      <c r="I11" s="10">
        <f>IF('Model inputs'!C15="","",'Model inputs'!C15)</f>
        <v>15000</v>
      </c>
      <c r="J11" s="10">
        <f>IF('Model inputs'!C15="","",'Model inputs'!C15)</f>
        <v>15000</v>
      </c>
      <c r="K11" s="10">
        <f>IF('Model inputs'!C15="","",'Model inputs'!C15)</f>
        <v>15000</v>
      </c>
      <c r="L11" s="10">
        <f>IF('Model inputs'!C15="","",'Model inputs'!C15)</f>
        <v>15000</v>
      </c>
      <c r="M11" s="10">
        <f>IF('Model inputs'!C15="","",'Model inputs'!C15)</f>
        <v>15000</v>
      </c>
      <c r="N11" s="10">
        <f>IF('Model inputs'!C15="","",'Model inputs'!C15)</f>
        <v>15000</v>
      </c>
      <c r="O11" s="10">
        <f>IF('Model inputs'!C15="","",'Model inputs'!C15)</f>
        <v>15000</v>
      </c>
      <c r="P11" s="10">
        <f>IF('Model inputs'!C15="","",'Model inputs'!C15)</f>
        <v>15000</v>
      </c>
      <c r="Q11" s="10">
        <f>IF('Model inputs'!C15="","",'Model inputs'!C15)</f>
        <v>15000</v>
      </c>
      <c r="R11" s="10">
        <f>IF('Model inputs'!C15="","",'Model inputs'!C15)</f>
        <v>15000</v>
      </c>
      <c r="S11" s="10">
        <f>IF('Model inputs'!C15="","",'Model inputs'!C15)</f>
        <v>15000</v>
      </c>
    </row>
    <row r="12">
      <c r="A12" t="inlineStr" s="26">
        <is>
          <t xml:space="preserve">Campaign expense · Downside</t>
        </is>
      </c>
      <c r="D12" s="10">
        <f>SUM('Model inputs'!D129)</f>
        <v>0</v>
      </c>
      <c r="E12" s="10">
        <f>SUM('Model inputs'!E129)</f>
        <v>18000</v>
      </c>
    </row>
    <row r="13">
      <c r="A13" t="inlineStr" s="26">
        <is>
          <t xml:space="preserve">Campaign expense · Growth</t>
        </is>
      </c>
      <c r="D13" s="10">
        <f>SUM('Model inputs'!D131)</f>
        <v>0</v>
      </c>
      <c r="E13" s="10">
        <f>SUM('Model inputs'!E131)</f>
        <v>20000</v>
      </c>
    </row>
    <row r="14">
      <c r="A14" t="inlineStr" s="26">
        <is>
          <t xml:space="preserve">Campaign spend per month</t>
        </is>
      </c>
      <c r="C14" s="11">
        <f>SUM('Model inputs'!C15)</f>
        <v>15000</v>
      </c>
    </row>
    <row r="15" outlineLevel="1">
      <c r="A15" t="inlineStr" s="27">
        <is>
          <t xml:space="preserve">Campaign spend per month &gt; Harbor Bay</t>
        </is>
      </c>
      <c r="C15" s="10">
        <f>'Harbor Bay assumptions'!B10</f>
        <v>15000</v>
      </c>
    </row>
    <row r="16">
      <c r="A16" t="inlineStr" s="26">
        <is>
          <t xml:space="preserve">Cash balance</t>
        </is>
      </c>
      <c r="D16" s="11">
        <f>IF('Model inputs'!C54="","",'Model inputs'!C54)</f>
        <v>30000</v>
      </c>
      <c r="E16" s="11">
        <f>IF(IF(IF(IFERROR('Model inputs'!C54=""=TRUE,FALSE),TRUE,IF(IFERROR('Model inputs'!E23=""=TRUE,FALSE),TRUE,OR('Model inputs'!C54="",'Model inputs'!E23="")))="",FALSE,IF(IFERROR('Model inputs'!C54=""=TRUE,FALSE),TRUE,IF(IFERROR('Model inputs'!E23=""=TRUE,FALSE),TRUE,OR('Model inputs'!C54="",'Model inputs'!E23="")))),"",'Model inputs'!D16+'Model inputs'!E23)</f>
        <v>49281.371280724445</v>
      </c>
      <c r="F16" s="11">
        <f>IF(IF(IF(IFERROR('Model inputs'!C54=""=TRUE,FALSE),TRUE,IF(IFERROR('Model inputs'!F23=""=TRUE,FALSE),TRUE,OR('Model inputs'!C54="",'Model inputs'!F23="")))="",FALSE,IF(IFERROR('Model inputs'!C54=""=TRUE,FALSE),TRUE,IF(IFERROR('Model inputs'!F23=""=TRUE,FALSE),TRUE,OR('Model inputs'!C54="",'Model inputs'!F23="")))),"",'Model inputs'!E16+'Model inputs'!F23)</f>
        <v>68562.74256144889</v>
      </c>
      <c r="G16" s="11">
        <f>IF(IF(IF(IFERROR('Model inputs'!C54=""=TRUE,FALSE),TRUE,IF(IFERROR('Model inputs'!G23=""=TRUE,FALSE),TRUE,OR('Model inputs'!C54="",'Model inputs'!G23="")))="",FALSE,IF(IFERROR('Model inputs'!C54=""=TRUE,FALSE),TRUE,IF(IFERROR('Model inputs'!G23=""=TRUE,FALSE),TRUE,OR('Model inputs'!C54="",'Model inputs'!G23="")))),"",'Model inputs'!F16+'Model inputs'!G23)</f>
        <v>87844.11384217333</v>
      </c>
      <c r="H16" s="11">
        <f>IF(IF(IF(IFERROR('Model inputs'!C54=""=TRUE,FALSE),TRUE,IF(IFERROR('Model inputs'!H23=""=TRUE,FALSE),TRUE,OR('Model inputs'!C54="",'Model inputs'!H23="")))="",FALSE,IF(IFERROR('Model inputs'!C54=""=TRUE,FALSE),TRUE,IF(IFERROR('Model inputs'!H23=""=TRUE,FALSE),TRUE,OR('Model inputs'!C54="",'Model inputs'!H23="")))),"",'Model inputs'!G16+'Model inputs'!H23)</f>
        <v>107125.48512289778</v>
      </c>
      <c r="I16" s="11">
        <f>IF(IF(IF(IFERROR('Model inputs'!C54=""=TRUE,FALSE),TRUE,IF(IFERROR('Model inputs'!I23=""=TRUE,FALSE),TRUE,OR('Model inputs'!C54="",'Model inputs'!I23="")))="",FALSE,IF(IFERROR('Model inputs'!C54=""=TRUE,FALSE),TRUE,IF(IFERROR('Model inputs'!I23=""=TRUE,FALSE),TRUE,OR('Model inputs'!C54="",'Model inputs'!I23="")))),"",'Model inputs'!H16+'Model inputs'!I23)</f>
        <v>126406.85640362222</v>
      </c>
      <c r="J16" s="11">
        <f>IF(IF(IF(IFERROR('Model inputs'!C54=""=TRUE,FALSE),TRUE,IF(IFERROR('Model inputs'!J23=""=TRUE,FALSE),TRUE,OR('Model inputs'!C54="",'Model inputs'!J23="")))="",FALSE,IF(IFERROR('Model inputs'!C54=""=TRUE,FALSE),TRUE,IF(IFERROR('Model inputs'!J23=""=TRUE,FALSE),TRUE,OR('Model inputs'!C54="",'Model inputs'!J23="")))),"",'Model inputs'!I16+'Model inputs'!J23)</f>
        <v>145688.22768434667</v>
      </c>
      <c r="K16" s="11">
        <f>IF(IF(IF(IFERROR('Model inputs'!C54=""=TRUE,FALSE),TRUE,IF(IFERROR('Model inputs'!K23=""=TRUE,FALSE),TRUE,OR('Model inputs'!C54="",'Model inputs'!K23="")))="",FALSE,IF(IFERROR('Model inputs'!C54=""=TRUE,FALSE),TRUE,IF(IFERROR('Model inputs'!K23=""=TRUE,FALSE),TRUE,OR('Model inputs'!C54="",'Model inputs'!K23="")))),"",'Model inputs'!J16+'Model inputs'!K23)</f>
        <v>164969.5989650711</v>
      </c>
      <c r="L16" s="11">
        <f>IF(IF(IF(IFERROR('Model inputs'!C54=""=TRUE,FALSE),TRUE,IF(IFERROR('Model inputs'!L23=""=TRUE,FALSE),TRUE,OR('Model inputs'!C54="",'Model inputs'!L23="")))="",FALSE,IF(IFERROR('Model inputs'!C54=""=TRUE,FALSE),TRUE,IF(IFERROR('Model inputs'!L23=""=TRUE,FALSE),TRUE,OR('Model inputs'!C54="",'Model inputs'!L23="")))),"",'Model inputs'!K16+'Model inputs'!L23)</f>
        <v>184250.97024579556</v>
      </c>
      <c r="M16" s="11">
        <f>IF(IF(IF(IFERROR('Model inputs'!C54=""=TRUE,FALSE),TRUE,IF(IFERROR('Model inputs'!M23=""=TRUE,FALSE),TRUE,OR('Model inputs'!C54="",'Model inputs'!M23="")))="",FALSE,IF(IFERROR('Model inputs'!C54=""=TRUE,FALSE),TRUE,IF(IFERROR('Model inputs'!M23=""=TRUE,FALSE),TRUE,OR('Model inputs'!C54="",'Model inputs'!M23="")))),"",'Model inputs'!L16+'Model inputs'!M23)</f>
        <v>203532.34152652</v>
      </c>
      <c r="N16" s="11">
        <f>IF(IF(IF(IFERROR('Model inputs'!C54=""=TRUE,FALSE),TRUE,IF(IFERROR('Model inputs'!N23=""=TRUE,FALSE),TRUE,OR('Model inputs'!C54="",'Model inputs'!N23="")))="",FALSE,IF(IFERROR('Model inputs'!C54=""=TRUE,FALSE),TRUE,IF(IFERROR('Model inputs'!N23=""=TRUE,FALSE),TRUE,OR('Model inputs'!C54="",'Model inputs'!N23="")))),"",'Model inputs'!M16+'Model inputs'!N23)</f>
        <v>222813.71280724445</v>
      </c>
      <c r="O16" s="11">
        <f>IF(IF(IF(IFERROR('Model inputs'!C54=""=TRUE,FALSE),TRUE,IF(IFERROR('Model inputs'!O23=""=TRUE,FALSE),TRUE,OR('Model inputs'!C54="",'Model inputs'!O23="")))="",FALSE,IF(IFERROR('Model inputs'!C54=""=TRUE,FALSE),TRUE,IF(IFERROR('Model inputs'!O23=""=TRUE,FALSE),TRUE,OR('Model inputs'!C54="",'Model inputs'!O23="")))),"",'Model inputs'!N16+'Model inputs'!O23)</f>
        <v>242095.0840879689</v>
      </c>
      <c r="P16" s="11">
        <f>IF(IF(IF(IFERROR('Model inputs'!C54=""=TRUE,FALSE),TRUE,IF(IFERROR('Model inputs'!P23=""=TRUE,FALSE),TRUE,OR('Model inputs'!C54="",'Model inputs'!P23="")))="",FALSE,IF(IFERROR('Model inputs'!C54=""=TRUE,FALSE),TRUE,IF(IFERROR('Model inputs'!P23=""=TRUE,FALSE),TRUE,OR('Model inputs'!C54="",'Model inputs'!P23="")))),"",'Model inputs'!O16+'Model inputs'!P23)</f>
        <v>261376.45536869334</v>
      </c>
      <c r="Q16" s="11">
        <f>IF(IF(IF(IFERROR('Model inputs'!C54=""=TRUE,FALSE),TRUE,IF(IFERROR('Model inputs'!Q23=""=TRUE,FALSE),TRUE,OR('Model inputs'!C54="",'Model inputs'!Q23="")))="",FALSE,IF(IFERROR('Model inputs'!C54=""=TRUE,FALSE),TRUE,IF(IFERROR('Model inputs'!Q23=""=TRUE,FALSE),TRUE,OR('Model inputs'!C54="",'Model inputs'!Q23="")))),"",'Model inputs'!P16+'Model inputs'!Q23)</f>
        <v>280657.82664941775</v>
      </c>
      <c r="R16" s="11">
        <f>IF(IF(IF(IFERROR('Model inputs'!C54=""=TRUE,FALSE),TRUE,IF(IFERROR('Model inputs'!R23=""=TRUE,FALSE),TRUE,OR('Model inputs'!C54="",'Model inputs'!R23="")))="",FALSE,IF(IFERROR('Model inputs'!C54=""=TRUE,FALSE),TRUE,IF(IFERROR('Model inputs'!R23=""=TRUE,FALSE),TRUE,OR('Model inputs'!C54="",'Model inputs'!R23="")))),"",'Model inputs'!Q16+'Model inputs'!R23)</f>
        <v>299939.19793014217</v>
      </c>
      <c r="S16" s="11">
        <f>IF(IF(IF(IFERROR('Model inputs'!C54=""=TRUE,FALSE),TRUE,IF(IFERROR('Model inputs'!S23=""=TRUE,FALSE),TRUE,OR('Model inputs'!C54="",'Model inputs'!S23="")))="",FALSE,IF(IFERROR('Model inputs'!C54=""=TRUE,FALSE),TRUE,IF(IFERROR('Model inputs'!S23=""=TRUE,FALSE),TRUE,OR('Model inputs'!C54="",'Model inputs'!S23="")))),"",'Model inputs'!R16+'Model inputs'!S23)</f>
        <v>319220.5692108666</v>
      </c>
    </row>
    <row r="17" outlineLevel="1">
      <c r="A17" t="inlineStr" s="27">
        <is>
          <t xml:space="preserve">Cash balance &gt; Harbor Bay</t>
        </is>
      </c>
      <c r="D17" s="10">
        <f>IF('Model inputs'!C54="","",'Model inputs'!C54)</f>
        <v>30000</v>
      </c>
      <c r="E17" s="10">
        <f>IF(IF(IF(IFERROR('Model inputs'!C54=""=TRUE,FALSE),TRUE,IF(IFERROR('Model inputs'!E24=""=TRUE,FALSE),TRUE,OR('Model inputs'!C54="",'Model inputs'!E24="")))="",FALSE,IF(IFERROR('Model inputs'!C54=""=TRUE,FALSE),TRUE,IF(IFERROR('Model inputs'!E24=""=TRUE,FALSE),TRUE,OR('Model inputs'!C54="",'Model inputs'!E24="")))),"",'Model inputs'!D17+'Model inputs'!E24)</f>
        <v>49281.371280724445</v>
      </c>
      <c r="F17" s="10">
        <f>IF(IF(IF(IFERROR('Model inputs'!C54=""=TRUE,FALSE),TRUE,IF(IFERROR('Model inputs'!F24=""=TRUE,FALSE),TRUE,OR('Model inputs'!C54="",'Model inputs'!F24="")))="",FALSE,IF(IFERROR('Model inputs'!C54=""=TRUE,FALSE),TRUE,IF(IFERROR('Model inputs'!F24=""=TRUE,FALSE),TRUE,OR('Model inputs'!C54="",'Model inputs'!F24="")))),"",'Model inputs'!E17+'Model inputs'!F24)</f>
        <v>68562.74256144889</v>
      </c>
      <c r="G17" s="10">
        <f>IF(IF(IF(IFERROR('Model inputs'!C54=""=TRUE,FALSE),TRUE,IF(IFERROR('Model inputs'!G24=""=TRUE,FALSE),TRUE,OR('Model inputs'!C54="",'Model inputs'!G24="")))="",FALSE,IF(IFERROR('Model inputs'!C54=""=TRUE,FALSE),TRUE,IF(IFERROR('Model inputs'!G24=""=TRUE,FALSE),TRUE,OR('Model inputs'!C54="",'Model inputs'!G24="")))),"",'Model inputs'!F17+'Model inputs'!G24)</f>
        <v>87844.11384217333</v>
      </c>
      <c r="H17" s="10">
        <f>IF(IF(IF(IFERROR('Model inputs'!C54=""=TRUE,FALSE),TRUE,IF(IFERROR('Model inputs'!H24=""=TRUE,FALSE),TRUE,OR('Model inputs'!C54="",'Model inputs'!H24="")))="",FALSE,IF(IFERROR('Model inputs'!C54=""=TRUE,FALSE),TRUE,IF(IFERROR('Model inputs'!H24=""=TRUE,FALSE),TRUE,OR('Model inputs'!C54="",'Model inputs'!H24="")))),"",'Model inputs'!G17+'Model inputs'!H24)</f>
        <v>107125.48512289778</v>
      </c>
      <c r="I17" s="10">
        <f>IF(IF(IF(IFERROR('Model inputs'!C54=""=TRUE,FALSE),TRUE,IF(IFERROR('Model inputs'!I24=""=TRUE,FALSE),TRUE,OR('Model inputs'!C54="",'Model inputs'!I24="")))="",FALSE,IF(IFERROR('Model inputs'!C54=""=TRUE,FALSE),TRUE,IF(IFERROR('Model inputs'!I24=""=TRUE,FALSE),TRUE,OR('Model inputs'!C54="",'Model inputs'!I24="")))),"",'Model inputs'!H17+'Model inputs'!I24)</f>
        <v>126406.85640362222</v>
      </c>
      <c r="J17" s="10">
        <f>IF(IF(IF(IFERROR('Model inputs'!C54=""=TRUE,FALSE),TRUE,IF(IFERROR('Model inputs'!J24=""=TRUE,FALSE),TRUE,OR('Model inputs'!C54="",'Model inputs'!J24="")))="",FALSE,IF(IFERROR('Model inputs'!C54=""=TRUE,FALSE),TRUE,IF(IFERROR('Model inputs'!J24=""=TRUE,FALSE),TRUE,OR('Model inputs'!C54="",'Model inputs'!J24="")))),"",'Model inputs'!I17+'Model inputs'!J24)</f>
        <v>145688.22768434667</v>
      </c>
      <c r="K17" s="10">
        <f>IF(IF(IF(IFERROR('Model inputs'!C54=""=TRUE,FALSE),TRUE,IF(IFERROR('Model inputs'!K24=""=TRUE,FALSE),TRUE,OR('Model inputs'!C54="",'Model inputs'!K24="")))="",FALSE,IF(IFERROR('Model inputs'!C54=""=TRUE,FALSE),TRUE,IF(IFERROR('Model inputs'!K24=""=TRUE,FALSE),TRUE,OR('Model inputs'!C54="",'Model inputs'!K24="")))),"",'Model inputs'!J17+'Model inputs'!K24)</f>
        <v>164969.5989650711</v>
      </c>
      <c r="L17" s="10">
        <f>IF(IF(IF(IFERROR('Model inputs'!C54=""=TRUE,FALSE),TRUE,IF(IFERROR('Model inputs'!L24=""=TRUE,FALSE),TRUE,OR('Model inputs'!C54="",'Model inputs'!L24="")))="",FALSE,IF(IFERROR('Model inputs'!C54=""=TRUE,FALSE),TRUE,IF(IFERROR('Model inputs'!L24=""=TRUE,FALSE),TRUE,OR('Model inputs'!C54="",'Model inputs'!L24="")))),"",'Model inputs'!K17+'Model inputs'!L24)</f>
        <v>184250.97024579556</v>
      </c>
      <c r="M17" s="10">
        <f>IF(IF(IF(IFERROR('Model inputs'!C54=""=TRUE,FALSE),TRUE,IF(IFERROR('Model inputs'!M24=""=TRUE,FALSE),TRUE,OR('Model inputs'!C54="",'Model inputs'!M24="")))="",FALSE,IF(IFERROR('Model inputs'!C54=""=TRUE,FALSE),TRUE,IF(IFERROR('Model inputs'!M24=""=TRUE,FALSE),TRUE,OR('Model inputs'!C54="",'Model inputs'!M24="")))),"",'Model inputs'!L17+'Model inputs'!M24)</f>
        <v>203532.34152652</v>
      </c>
      <c r="N17" s="10">
        <f>IF(IF(IF(IFERROR('Model inputs'!C54=""=TRUE,FALSE),TRUE,IF(IFERROR('Model inputs'!N24=""=TRUE,FALSE),TRUE,OR('Model inputs'!C54="",'Model inputs'!N24="")))="",FALSE,IF(IFERROR('Model inputs'!C54=""=TRUE,FALSE),TRUE,IF(IFERROR('Model inputs'!N24=""=TRUE,FALSE),TRUE,OR('Model inputs'!C54="",'Model inputs'!N24="")))),"",'Model inputs'!M17+'Model inputs'!N24)</f>
        <v>222813.71280724445</v>
      </c>
      <c r="O17" s="10">
        <f>IF(IF(IF(IFERROR('Model inputs'!C54=""=TRUE,FALSE),TRUE,IF(IFERROR('Model inputs'!O24=""=TRUE,FALSE),TRUE,OR('Model inputs'!C54="",'Model inputs'!O24="")))="",FALSE,IF(IFERROR('Model inputs'!C54=""=TRUE,FALSE),TRUE,IF(IFERROR('Model inputs'!O24=""=TRUE,FALSE),TRUE,OR('Model inputs'!C54="",'Model inputs'!O24="")))),"",'Model inputs'!N17+'Model inputs'!O24)</f>
        <v>242095.0840879689</v>
      </c>
      <c r="P17" s="10">
        <f>IF(IF(IF(IFERROR('Model inputs'!C54=""=TRUE,FALSE),TRUE,IF(IFERROR('Model inputs'!P24=""=TRUE,FALSE),TRUE,OR('Model inputs'!C54="",'Model inputs'!P24="")))="",FALSE,IF(IFERROR('Model inputs'!C54=""=TRUE,FALSE),TRUE,IF(IFERROR('Model inputs'!P24=""=TRUE,FALSE),TRUE,OR('Model inputs'!C54="",'Model inputs'!P24="")))),"",'Model inputs'!O17+'Model inputs'!P24)</f>
        <v>261376.45536869334</v>
      </c>
      <c r="Q17" s="10">
        <f>IF(IF(IF(IFERROR('Model inputs'!C54=""=TRUE,FALSE),TRUE,IF(IFERROR('Model inputs'!Q24=""=TRUE,FALSE),TRUE,OR('Model inputs'!C54="",'Model inputs'!Q24="")))="",FALSE,IF(IFERROR('Model inputs'!C54=""=TRUE,FALSE),TRUE,IF(IFERROR('Model inputs'!Q24=""=TRUE,FALSE),TRUE,OR('Model inputs'!C54="",'Model inputs'!Q24="")))),"",'Model inputs'!P17+'Model inputs'!Q24)</f>
        <v>280657.82664941775</v>
      </c>
      <c r="R17" s="10">
        <f>IF(IF(IF(IFERROR('Model inputs'!C54=""=TRUE,FALSE),TRUE,IF(IFERROR('Model inputs'!R24=""=TRUE,FALSE),TRUE,OR('Model inputs'!C54="",'Model inputs'!R24="")))="",FALSE,IF(IFERROR('Model inputs'!C54=""=TRUE,FALSE),TRUE,IF(IFERROR('Model inputs'!R24=""=TRUE,FALSE),TRUE,OR('Model inputs'!C54="",'Model inputs'!R24="")))),"",'Model inputs'!Q17+'Model inputs'!R24)</f>
        <v>299939.19793014217</v>
      </c>
      <c r="S17" s="10">
        <f>IF(IF(IF(IFERROR('Model inputs'!C54=""=TRUE,FALSE),TRUE,IF(IFERROR('Model inputs'!S24=""=TRUE,FALSE),TRUE,OR('Model inputs'!C54="",'Model inputs'!S24="")))="",FALSE,IF(IFERROR('Model inputs'!C54=""=TRUE,FALSE),TRUE,IF(IFERROR('Model inputs'!S24=""=TRUE,FALSE),TRUE,OR('Model inputs'!C54="",'Model inputs'!S24="")))),"",'Model inputs'!R17+'Model inputs'!S24)</f>
        <v>319220.5692108666</v>
      </c>
    </row>
    <row r="18">
      <c r="A18" t="inlineStr" s="26">
        <is>
          <t xml:space="preserve">Cash balance · Downside</t>
        </is>
      </c>
      <c r="D18" s="10">
        <f>IF('Model inputs'!C56="","",'Model inputs'!C56)</f>
        <v>30000</v>
      </c>
      <c r="E18" s="10">
        <f>IF(IF(IF(IFERROR('Model inputs'!C56=""=TRUE,FALSE),TRUE,IF(IFERROR('Model inputs'!E25=""=TRUE,FALSE),TRUE,OR('Model inputs'!C56="",'Model inputs'!E25="")))="",FALSE,IF(IFERROR('Model inputs'!C56=""=TRUE,FALSE),TRUE,IF(IFERROR('Model inputs'!E25=""=TRUE,FALSE),TRUE,OR('Model inputs'!C56="",'Model inputs'!E25="")))),"",'Model inputs'!D18+'Model inputs'!E25)</f>
        <v>25818.369987063386</v>
      </c>
    </row>
    <row r="19">
      <c r="A19" t="inlineStr" s="26">
        <is>
          <t xml:space="preserve">Cash balance · Growth</t>
        </is>
      </c>
      <c r="D19" s="10">
        <f>IF('Model inputs'!C58="","",'Model inputs'!C58)</f>
        <v>30000</v>
      </c>
      <c r="E19" s="10">
        <f>IF(IF(IF(IFERROR('Model inputs'!C58=""=TRUE,FALSE),TRUE,IF(IFERROR('Model inputs'!E26=""=TRUE,FALSE),TRUE,OR('Model inputs'!C58="",'Model inputs'!E26="")))="",FALSE,IF(IFERROR('Model inputs'!C58=""=TRUE,FALSE),TRUE,IF(IFERROR('Model inputs'!E26=""=TRUE,FALSE),TRUE,OR('Model inputs'!C58="",'Model inputs'!E26="")))),"",'Model inputs'!D19+'Model inputs'!E26)</f>
        <v>71732.40620957309</v>
      </c>
    </row>
    <row r="20">
      <c r="A20" t="inlineStr" s="26">
        <is>
          <t xml:space="preserve">Catalog cost-to-sales ratio (provisional) · Harbor Bay assumptions · Base</t>
        </is>
      </c>
      <c r="B20" s="8">
        <f>IFERROR('Model inputs'!B77/'Model inputs'!B78,"")</f>
        <v>0.5032341526520052</v>
      </c>
    </row>
    <row r="21">
      <c r="A21" t="inlineStr" s="26">
        <is>
          <t xml:space="preserve">Catalog cost-to-sales ratio (provisional) · Downside</t>
        </is>
      </c>
      <c r="B21" s="8">
        <f>IFERROR('Model inputs'!B124/'Model inputs'!B126,"")</f>
        <v>0.5032341526520052</v>
      </c>
    </row>
    <row r="22">
      <c r="A22" t="inlineStr" s="26">
        <is>
          <t xml:space="preserve">Catalog cost-to-sales ratio (provisional) · Growth</t>
        </is>
      </c>
      <c r="B22" s="8">
        <f>IFERROR('Model inputs'!B125/'Model inputs'!B127,"")</f>
        <v>0.5032341526520052</v>
      </c>
    </row>
    <row r="23">
      <c r="A23" t="inlineStr" s="26">
        <is>
          <t xml:space="preserve">Contribution</t>
        </is>
      </c>
      <c r="D23" s="11">
        <f>SUM('Model inputs'!D24)</f>
        <v>0</v>
      </c>
      <c r="E23" s="11">
        <f>IF('Model inputs'!E47="","",'Model inputs'!E33-'Model inputs'!E10-'Model inputs'!E41-'Model inputs'!E47)</f>
        <v>19281.371280724445</v>
      </c>
      <c r="F23" s="11">
        <f>IF('Model inputs'!F47="","",'Model inputs'!F33-'Model inputs'!F10-'Model inputs'!F41-'Model inputs'!F47)</f>
        <v>19281.371280724445</v>
      </c>
      <c r="G23" s="11">
        <f>IF('Model inputs'!G47="","",'Model inputs'!G33-'Model inputs'!G10-'Model inputs'!G41-'Model inputs'!G47)</f>
        <v>19281.371280724445</v>
      </c>
      <c r="H23" s="11">
        <f>IF('Model inputs'!H47="","",'Model inputs'!H33-'Model inputs'!H10-'Model inputs'!H41-'Model inputs'!H47)</f>
        <v>19281.371280724445</v>
      </c>
      <c r="I23" s="11">
        <f>IF('Model inputs'!I47="","",'Model inputs'!I33-'Model inputs'!I10-'Model inputs'!I41-'Model inputs'!I47)</f>
        <v>19281.371280724445</v>
      </c>
      <c r="J23" s="11">
        <f>IF('Model inputs'!J47="","",'Model inputs'!J33-'Model inputs'!J10-'Model inputs'!J41-'Model inputs'!J47)</f>
        <v>19281.371280724445</v>
      </c>
      <c r="K23" s="11">
        <f>IF('Model inputs'!K47="","",'Model inputs'!K33-'Model inputs'!K10-'Model inputs'!K41-'Model inputs'!K47)</f>
        <v>19281.371280724445</v>
      </c>
      <c r="L23" s="11">
        <f>IF('Model inputs'!L47="","",'Model inputs'!L33-'Model inputs'!L10-'Model inputs'!L41-'Model inputs'!L47)</f>
        <v>19281.371280724445</v>
      </c>
      <c r="M23" s="11">
        <f>IF('Model inputs'!M47="","",'Model inputs'!M33-'Model inputs'!M10-'Model inputs'!M41-'Model inputs'!M47)</f>
        <v>19281.371280724445</v>
      </c>
      <c r="N23" s="11">
        <f>IF('Model inputs'!N47="","",'Model inputs'!N33-'Model inputs'!N10-'Model inputs'!N41-'Model inputs'!N47)</f>
        <v>19281.371280724445</v>
      </c>
      <c r="O23" s="11">
        <f>IF('Model inputs'!O47="","",'Model inputs'!O33-'Model inputs'!O10-'Model inputs'!O41-'Model inputs'!O47)</f>
        <v>19281.371280724445</v>
      </c>
      <c r="P23" s="11">
        <f>IF('Model inputs'!P47="","",'Model inputs'!P33-'Model inputs'!P10-'Model inputs'!P41-'Model inputs'!P47)</f>
        <v>19281.371280724445</v>
      </c>
      <c r="Q23" s="11">
        <f>IF('Model inputs'!Q47="","",'Model inputs'!Q33-'Model inputs'!Q10-'Model inputs'!Q41-'Model inputs'!Q47)</f>
        <v>19281.371280724445</v>
      </c>
      <c r="R23" s="11">
        <f>IF('Model inputs'!R47="","",'Model inputs'!R33-'Model inputs'!R10-'Model inputs'!R41-'Model inputs'!R47)</f>
        <v>19281.371280724445</v>
      </c>
      <c r="S23" s="11">
        <f>IF('Model inputs'!S47="","",'Model inputs'!S33-'Model inputs'!S10-'Model inputs'!S41-'Model inputs'!S47)</f>
        <v>19281.371280724445</v>
      </c>
    </row>
    <row r="24" outlineLevel="1">
      <c r="A24" t="inlineStr" s="27">
        <is>
          <t xml:space="preserve">Contribution &gt; Harbor Bay</t>
        </is>
      </c>
      <c r="D24" s="10">
        <f>0</f>
        <v>0</v>
      </c>
      <c r="E24" s="10">
        <f>IF('Model inputs'!E48="","",'Model inputs'!E34-'Model inputs'!E11-'Model inputs'!E42-'Model inputs'!E48)</f>
        <v>19281.371280724445</v>
      </c>
      <c r="F24" s="10">
        <f>IF('Model inputs'!F48="","",'Model inputs'!F34-'Model inputs'!F11-'Model inputs'!F42-'Model inputs'!F48)</f>
        <v>19281.371280724445</v>
      </c>
      <c r="G24" s="10">
        <f>IF('Model inputs'!G48="","",'Model inputs'!G34-'Model inputs'!G11-'Model inputs'!G42-'Model inputs'!G48)</f>
        <v>19281.371280724445</v>
      </c>
      <c r="H24" s="10">
        <f>IF('Model inputs'!H48="","",'Model inputs'!H34-'Model inputs'!H11-'Model inputs'!H42-'Model inputs'!H48)</f>
        <v>19281.371280724445</v>
      </c>
      <c r="I24" s="10">
        <f>IF('Model inputs'!I48="","",'Model inputs'!I34-'Model inputs'!I11-'Model inputs'!I42-'Model inputs'!I48)</f>
        <v>19281.371280724445</v>
      </c>
      <c r="J24" s="10">
        <f>IF('Model inputs'!J48="","",'Model inputs'!J34-'Model inputs'!J11-'Model inputs'!J42-'Model inputs'!J48)</f>
        <v>19281.371280724445</v>
      </c>
      <c r="K24" s="10">
        <f>IF('Model inputs'!K48="","",'Model inputs'!K34-'Model inputs'!K11-'Model inputs'!K42-'Model inputs'!K48)</f>
        <v>19281.371280724445</v>
      </c>
      <c r="L24" s="10">
        <f>IF('Model inputs'!L48="","",'Model inputs'!L34-'Model inputs'!L11-'Model inputs'!L42-'Model inputs'!L48)</f>
        <v>19281.371280724445</v>
      </c>
      <c r="M24" s="10">
        <f>IF('Model inputs'!M48="","",'Model inputs'!M34-'Model inputs'!M11-'Model inputs'!M42-'Model inputs'!M48)</f>
        <v>19281.371280724445</v>
      </c>
      <c r="N24" s="10">
        <f>IF('Model inputs'!N48="","",'Model inputs'!N34-'Model inputs'!N11-'Model inputs'!N42-'Model inputs'!N48)</f>
        <v>19281.371280724445</v>
      </c>
      <c r="O24" s="10">
        <f>IF('Model inputs'!O48="","",'Model inputs'!O34-'Model inputs'!O11-'Model inputs'!O42-'Model inputs'!O48)</f>
        <v>19281.371280724445</v>
      </c>
      <c r="P24" s="10">
        <f>IF('Model inputs'!P48="","",'Model inputs'!P34-'Model inputs'!P11-'Model inputs'!P42-'Model inputs'!P48)</f>
        <v>19281.371280724445</v>
      </c>
      <c r="Q24" s="10">
        <f>IF('Model inputs'!Q48="","",'Model inputs'!Q34-'Model inputs'!Q11-'Model inputs'!Q42-'Model inputs'!Q48)</f>
        <v>19281.371280724445</v>
      </c>
      <c r="R24" s="10">
        <f>IF('Model inputs'!R48="","",'Model inputs'!R34-'Model inputs'!R11-'Model inputs'!R42-'Model inputs'!R48)</f>
        <v>19281.371280724445</v>
      </c>
      <c r="S24" s="10">
        <f>IF('Model inputs'!S48="","",'Model inputs'!S34-'Model inputs'!S11-'Model inputs'!S42-'Model inputs'!S48)</f>
        <v>19281.371280724445</v>
      </c>
    </row>
    <row r="25">
      <c r="A25" t="inlineStr" s="26">
        <is>
          <t xml:space="preserve">Contribution · Downside</t>
        </is>
      </c>
      <c r="D25" s="10">
        <f>SUM('Model inputs'!D154)</f>
        <v>0</v>
      </c>
      <c r="E25" s="10">
        <f>IF('Model inputs'!E49="","",'Model inputs'!E35-'Model inputs'!E12-'Model inputs'!E43-'Model inputs'!E49)</f>
        <v>-4181.630012936614</v>
      </c>
    </row>
    <row r="26">
      <c r="A26" t="inlineStr" s="26">
        <is>
          <t xml:space="preserve">Contribution · Growth</t>
        </is>
      </c>
      <c r="D26" s="10">
        <f>SUM('Model inputs'!D156)</f>
        <v>0</v>
      </c>
      <c r="E26" s="10">
        <f>IF('Model inputs'!E50="","",'Model inputs'!E37-'Model inputs'!E13-'Model inputs'!E44-'Model inputs'!E50)</f>
        <v>41732.40620957309</v>
      </c>
    </row>
    <row r="27">
      <c r="A27" t="inlineStr" s="26">
        <is>
          <t xml:space="preserve">Conversion rate</t>
        </is>
      </c>
      <c r="C27" s="24">
        <f>SUM('Model inputs'!C28)</f>
        <v>0.025</v>
      </c>
    </row>
    <row r="28" outlineLevel="1">
      <c r="A28" t="inlineStr" s="27">
        <is>
          <t xml:space="preserve">Conversion rate &gt; Harbor Bay</t>
        </is>
      </c>
      <c r="C28" s="8">
        <f>'Harbor Bay assumptions'!B6</f>
        <v>0.025</v>
      </c>
    </row>
    <row r="29">
      <c r="A29" t="inlineStr" s="26">
        <is>
          <t xml:space="preserve">Fulfillment cost</t>
        </is>
      </c>
      <c r="D29" s="11">
        <f>SUM('Model inputs'!D30)</f>
        <v>0</v>
      </c>
      <c r="E29" s="11">
        <f>SUM('Model inputs'!E30)</f>
        <v>15000</v>
      </c>
      <c r="F29" s="11">
        <f>SUM('Model inputs'!F30)</f>
        <v>15000</v>
      </c>
      <c r="G29" s="11">
        <f>SUM('Model inputs'!G30)</f>
        <v>15000</v>
      </c>
      <c r="H29" s="11">
        <f>SUM('Model inputs'!H30)</f>
        <v>15000</v>
      </c>
      <c r="I29" s="11">
        <f>SUM('Model inputs'!I30)</f>
        <v>15000</v>
      </c>
      <c r="J29" s="11">
        <f>SUM('Model inputs'!J30)</f>
        <v>15000</v>
      </c>
      <c r="K29" s="11">
        <f>SUM('Model inputs'!K30)</f>
        <v>15000</v>
      </c>
      <c r="L29" s="11">
        <f>SUM('Model inputs'!L30)</f>
        <v>15000</v>
      </c>
      <c r="M29" s="11">
        <f>SUM('Model inputs'!M30)</f>
        <v>15000</v>
      </c>
      <c r="N29" s="11">
        <f>SUM('Model inputs'!N30)</f>
        <v>15000</v>
      </c>
      <c r="O29" s="11">
        <f>SUM('Model inputs'!O30)</f>
        <v>15000</v>
      </c>
      <c r="P29" s="11">
        <f>SUM('Model inputs'!P30)</f>
        <v>15000</v>
      </c>
      <c r="Q29" s="11">
        <f>SUM('Model inputs'!Q30)</f>
        <v>15000</v>
      </c>
      <c r="R29" s="11">
        <f>SUM('Model inputs'!R30)</f>
        <v>15000</v>
      </c>
      <c r="S29" s="11">
        <f>SUM('Model inputs'!S30)</f>
        <v>15000</v>
      </c>
    </row>
    <row r="30" outlineLevel="1">
      <c r="A30" t="inlineStr" s="27">
        <is>
          <t xml:space="preserve">Fulfillment cost &gt; Harbor Bay</t>
        </is>
      </c>
      <c r="D30" s="10">
        <f>0</f>
        <v>0</v>
      </c>
      <c r="E30" s="10">
        <f>'Model inputs'!E60*'Model inputs'!C32</f>
        <v>15000</v>
      </c>
      <c r="F30" s="10">
        <f>'Model inputs'!F60*'Model inputs'!C32</f>
        <v>15000</v>
      </c>
      <c r="G30" s="10">
        <f>'Model inputs'!G60*'Model inputs'!C32</f>
        <v>15000</v>
      </c>
      <c r="H30" s="10">
        <f>'Model inputs'!H60*'Model inputs'!C32</f>
        <v>15000</v>
      </c>
      <c r="I30" s="10">
        <f>'Model inputs'!I60*'Model inputs'!C32</f>
        <v>15000</v>
      </c>
      <c r="J30" s="10">
        <f>'Model inputs'!J60*'Model inputs'!C32</f>
        <v>15000</v>
      </c>
      <c r="K30" s="10">
        <f>'Model inputs'!K60*'Model inputs'!C32</f>
        <v>15000</v>
      </c>
      <c r="L30" s="10">
        <f>'Model inputs'!L60*'Model inputs'!C32</f>
        <v>15000</v>
      </c>
      <c r="M30" s="10">
        <f>'Model inputs'!M60*'Model inputs'!C32</f>
        <v>15000</v>
      </c>
      <c r="N30" s="10">
        <f>'Model inputs'!N60*'Model inputs'!C32</f>
        <v>15000</v>
      </c>
      <c r="O30" s="10">
        <f>'Model inputs'!O60*'Model inputs'!C32</f>
        <v>15000</v>
      </c>
      <c r="P30" s="10">
        <f>'Model inputs'!P60*'Model inputs'!C32</f>
        <v>15000</v>
      </c>
      <c r="Q30" s="10">
        <f>'Model inputs'!Q60*'Model inputs'!C32</f>
        <v>15000</v>
      </c>
      <c r="R30" s="10">
        <f>'Model inputs'!R60*'Model inputs'!C32</f>
        <v>15000</v>
      </c>
      <c r="S30" s="10">
        <f>'Model inputs'!S60*'Model inputs'!C32</f>
        <v>15000</v>
      </c>
    </row>
    <row r="31">
      <c r="A31" t="inlineStr" s="26">
        <is>
          <t xml:space="preserve">Fulfillment cost per order</t>
        </is>
      </c>
      <c r="C31" s="22">
        <f>SUM('Model inputs'!C32)</f>
        <v>12</v>
      </c>
    </row>
    <row r="32" outlineLevel="1">
      <c r="A32" t="inlineStr" s="27">
        <is>
          <t xml:space="preserve">Fulfillment cost per order &gt; Harbor Bay</t>
        </is>
      </c>
      <c r="C32" s="9">
        <f>'Harbor Bay assumptions'!B9</f>
        <v>12</v>
      </c>
    </row>
    <row r="33">
      <c r="A33" t="inlineStr" s="26">
        <is>
          <t xml:space="preserve">Gross profit</t>
        </is>
      </c>
      <c r="D33" s="11">
        <f>SUM('Model inputs'!D34)</f>
        <v>0</v>
      </c>
      <c r="E33" s="11">
        <f>SUM('Model inputs'!E34)</f>
        <v>37781.371280724445</v>
      </c>
      <c r="F33" s="11">
        <f>SUM('Model inputs'!F34)</f>
        <v>37781.371280724445</v>
      </c>
      <c r="G33" s="11">
        <f>SUM('Model inputs'!G34)</f>
        <v>37781.371280724445</v>
      </c>
      <c r="H33" s="11">
        <f>SUM('Model inputs'!H34)</f>
        <v>37781.371280724445</v>
      </c>
      <c r="I33" s="11">
        <f>SUM('Model inputs'!I34)</f>
        <v>37781.371280724445</v>
      </c>
      <c r="J33" s="11">
        <f>SUM('Model inputs'!J34)</f>
        <v>37781.371280724445</v>
      </c>
      <c r="K33" s="11">
        <f>SUM('Model inputs'!K34)</f>
        <v>37781.371280724445</v>
      </c>
      <c r="L33" s="11">
        <f>SUM('Model inputs'!L34)</f>
        <v>37781.371280724445</v>
      </c>
      <c r="M33" s="11">
        <f>SUM('Model inputs'!M34)</f>
        <v>37781.371280724445</v>
      </c>
      <c r="N33" s="11">
        <f>SUM('Model inputs'!N34)</f>
        <v>37781.371280724445</v>
      </c>
      <c r="O33" s="11">
        <f>SUM('Model inputs'!O34)</f>
        <v>37781.371280724445</v>
      </c>
      <c r="P33" s="11">
        <f>SUM('Model inputs'!P34)</f>
        <v>37781.371280724445</v>
      </c>
      <c r="Q33" s="11">
        <f>SUM('Model inputs'!Q34)</f>
        <v>37781.371280724445</v>
      </c>
      <c r="R33" s="11">
        <f>SUM('Model inputs'!R34)</f>
        <v>37781.371280724445</v>
      </c>
      <c r="S33" s="11">
        <f>SUM('Model inputs'!S34)</f>
        <v>37781.371280724445</v>
      </c>
    </row>
    <row r="34" outlineLevel="1">
      <c r="A34" t="inlineStr" s="27">
        <is>
          <t xml:space="preserve">Gross profit &gt; Harbor Bay</t>
        </is>
      </c>
      <c r="D34" s="10">
        <f>0</f>
        <v>0</v>
      </c>
      <c r="E34" s="10">
        <f>'Model inputs'!E70-'Model inputs'!E66-'Model inputs'!E30</f>
        <v>37781.371280724445</v>
      </c>
      <c r="F34" s="10">
        <f>'Model inputs'!F70-'Model inputs'!F66-'Model inputs'!F30</f>
        <v>37781.371280724445</v>
      </c>
      <c r="G34" s="10">
        <f>'Model inputs'!G70-'Model inputs'!G66-'Model inputs'!G30</f>
        <v>37781.371280724445</v>
      </c>
      <c r="H34" s="10">
        <f>'Model inputs'!H70-'Model inputs'!H66-'Model inputs'!H30</f>
        <v>37781.371280724445</v>
      </c>
      <c r="I34" s="10">
        <f>'Model inputs'!I70-'Model inputs'!I66-'Model inputs'!I30</f>
        <v>37781.371280724445</v>
      </c>
      <c r="J34" s="10">
        <f>'Model inputs'!J70-'Model inputs'!J66-'Model inputs'!J30</f>
        <v>37781.371280724445</v>
      </c>
      <c r="K34" s="10">
        <f>'Model inputs'!K70-'Model inputs'!K66-'Model inputs'!K30</f>
        <v>37781.371280724445</v>
      </c>
      <c r="L34" s="10">
        <f>'Model inputs'!L70-'Model inputs'!L66-'Model inputs'!L30</f>
        <v>37781.371280724445</v>
      </c>
      <c r="M34" s="10">
        <f>'Model inputs'!M70-'Model inputs'!M66-'Model inputs'!M30</f>
        <v>37781.371280724445</v>
      </c>
      <c r="N34" s="10">
        <f>'Model inputs'!N70-'Model inputs'!N66-'Model inputs'!N30</f>
        <v>37781.371280724445</v>
      </c>
      <c r="O34" s="10">
        <f>'Model inputs'!O70-'Model inputs'!O66-'Model inputs'!O30</f>
        <v>37781.371280724445</v>
      </c>
      <c r="P34" s="10">
        <f>'Model inputs'!P70-'Model inputs'!P66-'Model inputs'!P30</f>
        <v>37781.371280724445</v>
      </c>
      <c r="Q34" s="10">
        <f>'Model inputs'!Q70-'Model inputs'!Q66-'Model inputs'!Q30</f>
        <v>37781.371280724445</v>
      </c>
      <c r="R34" s="10">
        <f>'Model inputs'!R70-'Model inputs'!R66-'Model inputs'!R30</f>
        <v>37781.371280724445</v>
      </c>
      <c r="S34" s="10">
        <f>'Model inputs'!S70-'Model inputs'!S66-'Model inputs'!S30</f>
        <v>37781.371280724445</v>
      </c>
    </row>
    <row r="35">
      <c r="A35" t="inlineStr" s="26">
        <is>
          <t xml:space="preserve">Gross profit</t>
        </is>
      </c>
      <c r="D35" s="11">
        <f>SUM('Model inputs'!D36)</f>
        <v>0</v>
      </c>
      <c r="E35" s="11">
        <f>SUM('Model inputs'!E36)</f>
        <v>17818.369987063386</v>
      </c>
    </row>
    <row r="36" outlineLevel="1">
      <c r="A36" t="inlineStr" s="27">
        <is>
          <t xml:space="preserve">Gross profit &gt; Harbor Bay</t>
        </is>
      </c>
      <c r="D36" s="10">
        <f>'Model inputs'!D34</f>
        <v>0</v>
      </c>
      <c r="E36" s="10">
        <f>'Model inputs'!E72-'Model inputs'!E146-'Model inputs'!E134</f>
        <v>17818.369987063386</v>
      </c>
    </row>
    <row r="37">
      <c r="A37" t="inlineStr" s="26">
        <is>
          <t xml:space="preserve">Gross profit</t>
        </is>
      </c>
      <c r="D37" s="11">
        <f>SUM('Model inputs'!D38)</f>
        <v>0</v>
      </c>
      <c r="E37" s="11">
        <f>SUM('Model inputs'!E38)</f>
        <v>65732.40620957309</v>
      </c>
    </row>
    <row r="38" outlineLevel="1">
      <c r="A38" t="inlineStr" s="27">
        <is>
          <t xml:space="preserve">Gross profit &gt; Harbor Bay</t>
        </is>
      </c>
      <c r="D38" s="10">
        <f>'Model inputs'!D34</f>
        <v>0</v>
      </c>
      <c r="E38" s="10">
        <f>'Model inputs'!E74-'Model inputs'!E148-'Model inputs'!E136</f>
        <v>65732.40620957309</v>
      </c>
    </row>
    <row r="39">
      <c r="A39" t="inlineStr" s="26">
        <is>
          <t xml:space="preserve">Inference cost per month</t>
        </is>
      </c>
      <c r="C39" s="11">
        <f>SUM('Model inputs'!C40)</f>
        <v>3000</v>
      </c>
    </row>
    <row r="40" outlineLevel="1">
      <c r="A40" t="inlineStr" s="27">
        <is>
          <t xml:space="preserve">Inference cost per month &gt; Harbor Bay</t>
        </is>
      </c>
      <c r="C40" s="10">
        <f>'Harbor Bay assumptions'!B11</f>
        <v>3000</v>
      </c>
    </row>
    <row r="41">
      <c r="A41" t="inlineStr" s="26">
        <is>
          <t xml:space="preserve">Inference expense</t>
        </is>
      </c>
      <c r="D41" s="11">
        <f>SUM('Model inputs'!D42)</f>
        <v>0</v>
      </c>
      <c r="E41" s="11">
        <f>SUM('Model inputs'!E42)</f>
        <v>3000</v>
      </c>
      <c r="F41" s="11">
        <f>SUM('Model inputs'!F42)</f>
        <v>3000</v>
      </c>
      <c r="G41" s="11">
        <f>SUM('Model inputs'!G42)</f>
        <v>3000</v>
      </c>
      <c r="H41" s="11">
        <f>SUM('Model inputs'!H42)</f>
        <v>3000</v>
      </c>
      <c r="I41" s="11">
        <f>SUM('Model inputs'!I42)</f>
        <v>3000</v>
      </c>
      <c r="J41" s="11">
        <f>SUM('Model inputs'!J42)</f>
        <v>3000</v>
      </c>
      <c r="K41" s="11">
        <f>SUM('Model inputs'!K42)</f>
        <v>3000</v>
      </c>
      <c r="L41" s="11">
        <f>SUM('Model inputs'!L42)</f>
        <v>3000</v>
      </c>
      <c r="M41" s="11">
        <f>SUM('Model inputs'!M42)</f>
        <v>3000</v>
      </c>
      <c r="N41" s="11">
        <f>SUM('Model inputs'!N42)</f>
        <v>3000</v>
      </c>
      <c r="O41" s="11">
        <f>SUM('Model inputs'!O42)</f>
        <v>3000</v>
      </c>
      <c r="P41" s="11">
        <f>SUM('Model inputs'!P42)</f>
        <v>3000</v>
      </c>
      <c r="Q41" s="11">
        <f>SUM('Model inputs'!Q42)</f>
        <v>3000</v>
      </c>
      <c r="R41" s="11">
        <f>SUM('Model inputs'!R42)</f>
        <v>3000</v>
      </c>
      <c r="S41" s="11">
        <f>SUM('Model inputs'!S42)</f>
        <v>3000</v>
      </c>
    </row>
    <row r="42" outlineLevel="1">
      <c r="A42" t="inlineStr" s="27">
        <is>
          <t xml:space="preserve">Inference expense &gt; Harbor Bay</t>
        </is>
      </c>
      <c r="D42" s="10">
        <f>0</f>
        <v>0</v>
      </c>
      <c r="E42" s="10">
        <f>IF('Model inputs'!C40="","",'Model inputs'!C40)</f>
        <v>3000</v>
      </c>
      <c r="F42" s="10">
        <f>IF('Model inputs'!C40="","",'Model inputs'!C40)</f>
        <v>3000</v>
      </c>
      <c r="G42" s="10">
        <f>IF('Model inputs'!C40="","",'Model inputs'!C40)</f>
        <v>3000</v>
      </c>
      <c r="H42" s="10">
        <f>IF('Model inputs'!C40="","",'Model inputs'!C40)</f>
        <v>3000</v>
      </c>
      <c r="I42" s="10">
        <f>IF('Model inputs'!C40="","",'Model inputs'!C40)</f>
        <v>3000</v>
      </c>
      <c r="J42" s="10">
        <f>IF('Model inputs'!C40="","",'Model inputs'!C40)</f>
        <v>3000</v>
      </c>
      <c r="K42" s="10">
        <f>IF('Model inputs'!C40="","",'Model inputs'!C40)</f>
        <v>3000</v>
      </c>
      <c r="L42" s="10">
        <f>IF('Model inputs'!C40="","",'Model inputs'!C40)</f>
        <v>3000</v>
      </c>
      <c r="M42" s="10">
        <f>IF('Model inputs'!C40="","",'Model inputs'!C40)</f>
        <v>3000</v>
      </c>
      <c r="N42" s="10">
        <f>IF('Model inputs'!C40="","",'Model inputs'!C40)</f>
        <v>3000</v>
      </c>
      <c r="O42" s="10">
        <f>IF('Model inputs'!C40="","",'Model inputs'!C40)</f>
        <v>3000</v>
      </c>
      <c r="P42" s="10">
        <f>IF('Model inputs'!C40="","",'Model inputs'!C40)</f>
        <v>3000</v>
      </c>
      <c r="Q42" s="10">
        <f>IF('Model inputs'!C40="","",'Model inputs'!C40)</f>
        <v>3000</v>
      </c>
      <c r="R42" s="10">
        <f>IF('Model inputs'!C40="","",'Model inputs'!C40)</f>
        <v>3000</v>
      </c>
      <c r="S42" s="10">
        <f>IF('Model inputs'!C40="","",'Model inputs'!C40)</f>
        <v>3000</v>
      </c>
    </row>
    <row r="43">
      <c r="A43" t="inlineStr" s="26">
        <is>
          <t xml:space="preserve">Inference expense · Downside</t>
        </is>
      </c>
      <c r="D43" s="10">
        <f>SUM('Model inputs'!D138)</f>
        <v>0</v>
      </c>
      <c r="E43" s="10">
        <f>SUM('Model inputs'!E138)</f>
        <v>3500</v>
      </c>
    </row>
    <row r="44">
      <c r="A44" t="inlineStr" s="26">
        <is>
          <t xml:space="preserve">Inference expense · Growth</t>
        </is>
      </c>
      <c r="D44" s="10">
        <f>SUM('Model inputs'!D140)</f>
        <v>0</v>
      </c>
      <c r="E44" s="10">
        <f>SUM('Model inputs'!E140)</f>
        <v>3500</v>
      </c>
    </row>
    <row r="45">
      <c r="A45" t="inlineStr" s="26">
        <is>
          <t xml:space="preserve">Infrastructure cost per month (synthetic demo)</t>
        </is>
      </c>
      <c r="C45" s="11">
        <f>SUM('Model inputs'!C46)</f>
        <v>500</v>
      </c>
    </row>
    <row r="46" outlineLevel="1">
      <c r="A46" t="inlineStr" s="27">
        <is>
          <t xml:space="preserve">Infrastructure cost per month (synthetic demo) &gt; Harbor Bay</t>
        </is>
      </c>
      <c r="C46" s="10">
        <f>'Harbor Bay assumptions'!B12</f>
        <v>500</v>
      </c>
    </row>
    <row r="47">
      <c r="A47" t="inlineStr" s="26">
        <is>
          <t xml:space="preserve">Infrastructure expense</t>
        </is>
      </c>
      <c r="D47" s="11">
        <f>SUM('Model inputs'!D48)</f>
        <v>0</v>
      </c>
      <c r="E47" s="11">
        <f>IF('Model inputs'!C46="","",'Model inputs'!C46)</f>
        <v>500</v>
      </c>
      <c r="F47" s="11">
        <f>IF('Model inputs'!C46="","",'Model inputs'!C46)</f>
        <v>500</v>
      </c>
      <c r="G47" s="11">
        <f>IF('Model inputs'!C46="","",'Model inputs'!C46)</f>
        <v>500</v>
      </c>
      <c r="H47" s="11">
        <f>IF('Model inputs'!C46="","",'Model inputs'!C46)</f>
        <v>500</v>
      </c>
      <c r="I47" s="11">
        <f>IF('Model inputs'!C46="","",'Model inputs'!C46)</f>
        <v>500</v>
      </c>
      <c r="J47" s="11">
        <f>IF('Model inputs'!C46="","",'Model inputs'!C46)</f>
        <v>500</v>
      </c>
      <c r="K47" s="11">
        <f>IF('Model inputs'!C46="","",'Model inputs'!C46)</f>
        <v>500</v>
      </c>
      <c r="L47" s="11">
        <f>IF('Model inputs'!C46="","",'Model inputs'!C46)</f>
        <v>500</v>
      </c>
      <c r="M47" s="11">
        <f>IF('Model inputs'!C46="","",'Model inputs'!C46)</f>
        <v>500</v>
      </c>
      <c r="N47" s="11">
        <f>IF('Model inputs'!C46="","",'Model inputs'!C46)</f>
        <v>500</v>
      </c>
      <c r="O47" s="11">
        <f>IF('Model inputs'!C46="","",'Model inputs'!C46)</f>
        <v>500</v>
      </c>
      <c r="P47" s="11">
        <f>IF('Model inputs'!C46="","",'Model inputs'!C46)</f>
        <v>500</v>
      </c>
      <c r="Q47" s="11">
        <f>IF('Model inputs'!C46="","",'Model inputs'!C46)</f>
        <v>500</v>
      </c>
      <c r="R47" s="11">
        <f>IF('Model inputs'!C46="","",'Model inputs'!C46)</f>
        <v>500</v>
      </c>
      <c r="S47" s="11">
        <f>IF('Model inputs'!C46="","",'Model inputs'!C46)</f>
        <v>500</v>
      </c>
    </row>
    <row r="48" outlineLevel="1">
      <c r="A48" t="inlineStr" s="27">
        <is>
          <t xml:space="preserve">Infrastructure expense &gt; Harbor Bay</t>
        </is>
      </c>
      <c r="D48" s="10">
        <f>0</f>
        <v>0</v>
      </c>
      <c r="E48" s="10">
        <f>IF('Model inputs'!C46="","",'Model inputs'!C46)</f>
        <v>500</v>
      </c>
      <c r="F48" s="10">
        <f>IF('Model inputs'!C46="","",'Model inputs'!C46)</f>
        <v>500</v>
      </c>
      <c r="G48" s="10">
        <f>IF('Model inputs'!C46="","",'Model inputs'!C46)</f>
        <v>500</v>
      </c>
      <c r="H48" s="10">
        <f>IF('Model inputs'!C46="","",'Model inputs'!C46)</f>
        <v>500</v>
      </c>
      <c r="I48" s="10">
        <f>IF('Model inputs'!C46="","",'Model inputs'!C46)</f>
        <v>500</v>
      </c>
      <c r="J48" s="10">
        <f>IF('Model inputs'!C46="","",'Model inputs'!C46)</f>
        <v>500</v>
      </c>
      <c r="K48" s="10">
        <f>IF('Model inputs'!C46="","",'Model inputs'!C46)</f>
        <v>500</v>
      </c>
      <c r="L48" s="10">
        <f>IF('Model inputs'!C46="","",'Model inputs'!C46)</f>
        <v>500</v>
      </c>
      <c r="M48" s="10">
        <f>IF('Model inputs'!C46="","",'Model inputs'!C46)</f>
        <v>500</v>
      </c>
      <c r="N48" s="10">
        <f>IF('Model inputs'!C46="","",'Model inputs'!C46)</f>
        <v>500</v>
      </c>
      <c r="O48" s="10">
        <f>IF('Model inputs'!C46="","",'Model inputs'!C46)</f>
        <v>500</v>
      </c>
      <c r="P48" s="10">
        <f>IF('Model inputs'!C46="","",'Model inputs'!C46)</f>
        <v>500</v>
      </c>
      <c r="Q48" s="10">
        <f>IF('Model inputs'!C46="","",'Model inputs'!C46)</f>
        <v>500</v>
      </c>
      <c r="R48" s="10">
        <f>IF('Model inputs'!C46="","",'Model inputs'!C46)</f>
        <v>500</v>
      </c>
      <c r="S48" s="10">
        <f>IF('Model inputs'!C46="","",'Model inputs'!C46)</f>
        <v>500</v>
      </c>
    </row>
    <row r="49">
      <c r="A49" t="inlineStr" s="26">
        <is>
          <t xml:space="preserve">Infrastructure expense · Downside</t>
        </is>
      </c>
      <c r="D49" s="10">
        <f>SUM('Model inputs'!D158)</f>
        <v>0</v>
      </c>
      <c r="E49" s="10">
        <f>IF('Model inputs'!C142="","",'Model inputs'!C142)</f>
        <v>500</v>
      </c>
    </row>
    <row r="50">
      <c r="A50" t="inlineStr" s="26">
        <is>
          <t xml:space="preserve">Infrastructure expense · Growth</t>
        </is>
      </c>
      <c r="D50" s="10">
        <f>SUM('Model inputs'!D160)</f>
        <v>0</v>
      </c>
      <c r="E50" s="10">
        <f>IF('Model inputs'!C144="","",'Model inputs'!C144)</f>
        <v>500</v>
      </c>
    </row>
    <row r="51">
      <c r="A51" t="inlineStr" s="26">
        <is>
          <t xml:space="preserve">Monthly visits</t>
        </is>
      </c>
      <c r="C51" s="6">
        <f>SUM('Model inputs'!C52)</f>
        <v>50000</v>
      </c>
    </row>
    <row r="52" outlineLevel="1">
      <c r="A52" t="inlineStr" s="27">
        <is>
          <t xml:space="preserve">Monthly visits &gt; Harbor Bay</t>
        </is>
      </c>
      <c r="C52" s="14">
        <f>'Harbor Bay assumptions'!B5</f>
        <v>50000</v>
      </c>
    </row>
    <row r="53">
      <c r="A53" t="inlineStr" s="26">
        <is>
          <t xml:space="preserve">Opening cash (synthetic demo)</t>
        </is>
      </c>
      <c r="C53" s="11">
        <f>SUM('Model inputs'!C54)</f>
        <v>30000</v>
      </c>
    </row>
    <row r="54" outlineLevel="1">
      <c r="A54" t="inlineStr" s="27">
        <is>
          <t xml:space="preserve">Opening cash (synthetic demo) &gt; Harbor Bay</t>
        </is>
      </c>
      <c r="C54" s="10">
        <f>'Harbor Bay assumptions'!B13</f>
        <v>30000</v>
      </c>
    </row>
    <row r="55">
      <c r="A55" t="inlineStr" s="26">
        <is>
          <t xml:space="preserve">Opening cash (synthetic demo)</t>
        </is>
      </c>
      <c r="C55" s="11">
        <f>SUM('Model inputs'!C56)</f>
        <v>30000</v>
      </c>
    </row>
    <row r="56" outlineLevel="1">
      <c r="A56" t="inlineStr" s="27">
        <is>
          <t xml:space="preserve">Opening cash (synthetic demo) &gt; Harbor Bay</t>
        </is>
      </c>
      <c r="C56" s="10">
        <f>'Scenario assumptions side by si'!D13</f>
        <v>30000</v>
      </c>
    </row>
    <row r="57">
      <c r="A57" t="inlineStr" s="26">
        <is>
          <t xml:space="preserve">Opening cash (synthetic demo)</t>
        </is>
      </c>
      <c r="C57" s="11">
        <f>SUM('Model inputs'!C58)</f>
        <v>30000</v>
      </c>
    </row>
    <row r="58" outlineLevel="1">
      <c r="A58" t="inlineStr" s="27">
        <is>
          <t xml:space="preserve">Opening cash (synthetic demo) &gt; Harbor Bay</t>
        </is>
      </c>
      <c r="C58" s="10">
        <f>'Harbor Bay assumptions'!B13</f>
        <v>30000</v>
      </c>
    </row>
    <row r="59">
      <c r="A59" t="inlineStr" s="26">
        <is>
          <t xml:space="preserve">Orders</t>
        </is>
      </c>
      <c r="D59" s="6">
        <f>SUM('Model inputs'!D60)</f>
        <v>0</v>
      </c>
      <c r="E59" s="6">
        <f>SUM('Model inputs'!E60)</f>
        <v>1250</v>
      </c>
      <c r="F59" s="6">
        <f>SUM('Model inputs'!F60)</f>
        <v>1250</v>
      </c>
      <c r="G59" s="6">
        <f>SUM('Model inputs'!G60)</f>
        <v>1250</v>
      </c>
      <c r="H59" s="6">
        <f>SUM('Model inputs'!H60)</f>
        <v>1250</v>
      </c>
      <c r="I59" s="6">
        <f>SUM('Model inputs'!I60)</f>
        <v>1250</v>
      </c>
      <c r="J59" s="6">
        <f>SUM('Model inputs'!J60)</f>
        <v>1250</v>
      </c>
      <c r="K59" s="6">
        <f>SUM('Model inputs'!K60)</f>
        <v>1250</v>
      </c>
      <c r="L59" s="6">
        <f>SUM('Model inputs'!L60)</f>
        <v>1250</v>
      </c>
      <c r="M59" s="6">
        <f>SUM('Model inputs'!M60)</f>
        <v>1250</v>
      </c>
      <c r="N59" s="6">
        <f>SUM('Model inputs'!N60)</f>
        <v>1250</v>
      </c>
      <c r="O59" s="6">
        <f>SUM('Model inputs'!O60)</f>
        <v>1250</v>
      </c>
      <c r="P59" s="6">
        <f>SUM('Model inputs'!P60)</f>
        <v>1250</v>
      </c>
      <c r="Q59" s="6">
        <f>SUM('Model inputs'!Q60)</f>
        <v>1250</v>
      </c>
      <c r="R59" s="6">
        <f>SUM('Model inputs'!R60)</f>
        <v>1250</v>
      </c>
      <c r="S59" s="6">
        <f>SUM('Model inputs'!S60)</f>
        <v>1250</v>
      </c>
    </row>
    <row r="60" outlineLevel="1">
      <c r="A60" t="inlineStr" s="27">
        <is>
          <t xml:space="preserve">Orders &gt; Harbor Bay</t>
        </is>
      </c>
      <c r="D60" s="14">
        <f>0</f>
        <v>0</v>
      </c>
      <c r="E60" s="14">
        <f>'Model inputs'!E76*'Model inputs'!C28</f>
        <v>1250</v>
      </c>
      <c r="F60" s="14">
        <f>'Model inputs'!F76*'Model inputs'!C28</f>
        <v>1250</v>
      </c>
      <c r="G60" s="14">
        <f>'Model inputs'!G76*'Model inputs'!C28</f>
        <v>1250</v>
      </c>
      <c r="H60" s="14">
        <f>'Model inputs'!H76*'Model inputs'!C28</f>
        <v>1250</v>
      </c>
      <c r="I60" s="14">
        <f>'Model inputs'!I76*'Model inputs'!C28</f>
        <v>1250</v>
      </c>
      <c r="J60" s="14">
        <f>'Model inputs'!J76*'Model inputs'!C28</f>
        <v>1250</v>
      </c>
      <c r="K60" s="14">
        <f>'Model inputs'!K76*'Model inputs'!C28</f>
        <v>1250</v>
      </c>
      <c r="L60" s="14">
        <f>'Model inputs'!L76*'Model inputs'!C28</f>
        <v>1250</v>
      </c>
      <c r="M60" s="14">
        <f>'Model inputs'!M76*'Model inputs'!C28</f>
        <v>1250</v>
      </c>
      <c r="N60" s="14">
        <f>'Model inputs'!N76*'Model inputs'!C28</f>
        <v>1250</v>
      </c>
      <c r="O60" s="14">
        <f>'Model inputs'!O76*'Model inputs'!C28</f>
        <v>1250</v>
      </c>
      <c r="P60" s="14">
        <f>'Model inputs'!P76*'Model inputs'!C28</f>
        <v>1250</v>
      </c>
      <c r="Q60" s="14">
        <f>'Model inputs'!Q76*'Model inputs'!C28</f>
        <v>1250</v>
      </c>
      <c r="R60" s="14">
        <f>'Model inputs'!R76*'Model inputs'!C28</f>
        <v>1250</v>
      </c>
      <c r="S60" s="14">
        <f>'Model inputs'!S76*'Model inputs'!C28</f>
        <v>1250</v>
      </c>
    </row>
    <row r="61">
      <c r="A61" t="inlineStr" s="26">
        <is>
          <t xml:space="preserve">Orders</t>
        </is>
      </c>
      <c r="D61" s="6">
        <f>SUM('Model inputs'!D62)</f>
        <v>0</v>
      </c>
      <c r="E61" s="6">
        <f>SUM('Model inputs'!E62)</f>
        <v>720</v>
      </c>
    </row>
    <row r="62" outlineLevel="1">
      <c r="A62" t="inlineStr" s="27">
        <is>
          <t xml:space="preserve">Orders &gt; Harbor Bay</t>
        </is>
      </c>
      <c r="D62" s="14">
        <f>'Model inputs'!D60</f>
        <v>0</v>
      </c>
      <c r="E62" s="14">
        <f>'Model inputs'!E150*'Scenario assumptions side by si'!D6</f>
        <v>720</v>
      </c>
    </row>
    <row r="63">
      <c r="A63" t="inlineStr" s="26">
        <is>
          <t xml:space="preserve">Orders</t>
        </is>
      </c>
      <c r="D63" s="6">
        <f>SUM('Model inputs'!D64)</f>
        <v>0</v>
      </c>
      <c r="E63" s="6">
        <f>SUM('Model inputs'!E64)</f>
        <v>1950</v>
      </c>
    </row>
    <row r="64" outlineLevel="1">
      <c r="A64" t="inlineStr" s="27">
        <is>
          <t xml:space="preserve">Orders &gt; Harbor Bay</t>
        </is>
      </c>
      <c r="D64" s="14">
        <f>'Model inputs'!D60</f>
        <v>0</v>
      </c>
      <c r="E64" s="14">
        <f>'Model inputs'!E152*'Scenario assumptions side by si'!C6</f>
        <v>1950</v>
      </c>
    </row>
    <row r="65">
      <c r="A65" t="inlineStr" s="26">
        <is>
          <t xml:space="preserve">Product cost</t>
        </is>
      </c>
      <c r="D65" s="11">
        <f>SUM('Model inputs'!D66)</f>
        <v>0</v>
      </c>
      <c r="E65" s="11">
        <f>SUM('Model inputs'!E66)</f>
        <v>53468.628719275555</v>
      </c>
      <c r="F65" s="11">
        <f>SUM('Model inputs'!F66)</f>
        <v>53468.628719275555</v>
      </c>
      <c r="G65" s="11">
        <f>SUM('Model inputs'!G66)</f>
        <v>53468.628719275555</v>
      </c>
      <c r="H65" s="11">
        <f>SUM('Model inputs'!H66)</f>
        <v>53468.628719275555</v>
      </c>
      <c r="I65" s="11">
        <f>SUM('Model inputs'!I66)</f>
        <v>53468.628719275555</v>
      </c>
      <c r="J65" s="11">
        <f>SUM('Model inputs'!J66)</f>
        <v>53468.628719275555</v>
      </c>
      <c r="K65" s="11">
        <f>SUM('Model inputs'!K66)</f>
        <v>53468.628719275555</v>
      </c>
      <c r="L65" s="11">
        <f>SUM('Model inputs'!L66)</f>
        <v>53468.628719275555</v>
      </c>
      <c r="M65" s="11">
        <f>SUM('Model inputs'!M66)</f>
        <v>53468.628719275555</v>
      </c>
      <c r="N65" s="11">
        <f>SUM('Model inputs'!N66)</f>
        <v>53468.628719275555</v>
      </c>
      <c r="O65" s="11">
        <f>SUM('Model inputs'!O66)</f>
        <v>53468.628719275555</v>
      </c>
      <c r="P65" s="11">
        <f>SUM('Model inputs'!P66)</f>
        <v>53468.628719275555</v>
      </c>
      <c r="Q65" s="11">
        <f>SUM('Model inputs'!Q66)</f>
        <v>53468.628719275555</v>
      </c>
      <c r="R65" s="11">
        <f>SUM('Model inputs'!R66)</f>
        <v>53468.628719275555</v>
      </c>
      <c r="S65" s="11">
        <f>SUM('Model inputs'!S66)</f>
        <v>53468.628719275555</v>
      </c>
    </row>
    <row r="66" outlineLevel="1">
      <c r="A66" t="inlineStr" s="27">
        <is>
          <t xml:space="preserve">Product cost &gt; Harbor Bay</t>
        </is>
      </c>
      <c r="D66" s="10">
        <f>0</f>
        <v>0</v>
      </c>
      <c r="E66" s="10">
        <f>'Model inputs'!E60*'Model inputs'!C68</f>
        <v>53468.628719275555</v>
      </c>
      <c r="F66" s="10">
        <f>'Model inputs'!F60*'Model inputs'!C68</f>
        <v>53468.628719275555</v>
      </c>
      <c r="G66" s="10">
        <f>'Model inputs'!G60*'Model inputs'!C68</f>
        <v>53468.628719275555</v>
      </c>
      <c r="H66" s="10">
        <f>'Model inputs'!H60*'Model inputs'!C68</f>
        <v>53468.628719275555</v>
      </c>
      <c r="I66" s="10">
        <f>'Model inputs'!I60*'Model inputs'!C68</f>
        <v>53468.628719275555</v>
      </c>
      <c r="J66" s="10">
        <f>'Model inputs'!J60*'Model inputs'!C68</f>
        <v>53468.628719275555</v>
      </c>
      <c r="K66" s="10">
        <f>'Model inputs'!K60*'Model inputs'!C68</f>
        <v>53468.628719275555</v>
      </c>
      <c r="L66" s="10">
        <f>'Model inputs'!L60*'Model inputs'!C68</f>
        <v>53468.628719275555</v>
      </c>
      <c r="M66" s="10">
        <f>'Model inputs'!M60*'Model inputs'!C68</f>
        <v>53468.628719275555</v>
      </c>
      <c r="N66" s="10">
        <f>'Model inputs'!N60*'Model inputs'!C68</f>
        <v>53468.628719275555</v>
      </c>
      <c r="O66" s="10">
        <f>'Model inputs'!O60*'Model inputs'!C68</f>
        <v>53468.628719275555</v>
      </c>
      <c r="P66" s="10">
        <f>'Model inputs'!P60*'Model inputs'!C68</f>
        <v>53468.628719275555</v>
      </c>
      <c r="Q66" s="10">
        <f>'Model inputs'!Q60*'Model inputs'!C68</f>
        <v>53468.628719275555</v>
      </c>
      <c r="R66" s="10">
        <f>'Model inputs'!R60*'Model inputs'!C68</f>
        <v>53468.628719275555</v>
      </c>
      <c r="S66" s="10">
        <f>'Model inputs'!S60*'Model inputs'!C68</f>
        <v>53468.628719275555</v>
      </c>
    </row>
    <row r="67">
      <c r="A67" t="inlineStr" s="26">
        <is>
          <t xml:space="preserve">Product cost per order (provisional)</t>
        </is>
      </c>
      <c r="C67" s="22">
        <f>SUM('Model inputs'!C68)</f>
        <v>42.774902975420446</v>
      </c>
    </row>
    <row r="68" outlineLevel="1">
      <c r="A68" t="inlineStr" s="27">
        <is>
          <t xml:space="preserve">Product cost per order (provisional) &gt; Harbor Bay</t>
        </is>
      </c>
      <c r="C68" s="9">
        <f>'Model inputs'!B7*'Model inputs'!B20</f>
        <v>42.774902975420446</v>
      </c>
    </row>
    <row r="69">
      <c r="A69" t="inlineStr" s="26">
        <is>
          <t xml:space="preserve">Revenue</t>
        </is>
      </c>
      <c r="D69" s="11">
        <f>SUM('Model inputs'!D70)</f>
        <v>0</v>
      </c>
      <c r="E69" s="11">
        <f>SUM('Model inputs'!E70)</f>
        <v>106250</v>
      </c>
      <c r="F69" s="11">
        <f>SUM('Model inputs'!F70)</f>
        <v>106250</v>
      </c>
      <c r="G69" s="11">
        <f>SUM('Model inputs'!G70)</f>
        <v>106250</v>
      </c>
      <c r="H69" s="11">
        <f>SUM('Model inputs'!H70)</f>
        <v>106250</v>
      </c>
      <c r="I69" s="11">
        <f>SUM('Model inputs'!I70)</f>
        <v>106250</v>
      </c>
      <c r="J69" s="11">
        <f>SUM('Model inputs'!J70)</f>
        <v>106250</v>
      </c>
      <c r="K69" s="11">
        <f>SUM('Model inputs'!K70)</f>
        <v>106250</v>
      </c>
      <c r="L69" s="11">
        <f>SUM('Model inputs'!L70)</f>
        <v>106250</v>
      </c>
      <c r="M69" s="11">
        <f>SUM('Model inputs'!M70)</f>
        <v>106250</v>
      </c>
      <c r="N69" s="11">
        <f>SUM('Model inputs'!N70)</f>
        <v>106250</v>
      </c>
      <c r="O69" s="11">
        <f>SUM('Model inputs'!O70)</f>
        <v>106250</v>
      </c>
      <c r="P69" s="11">
        <f>SUM('Model inputs'!P70)</f>
        <v>106250</v>
      </c>
      <c r="Q69" s="11">
        <f>SUM('Model inputs'!Q70)</f>
        <v>106250</v>
      </c>
      <c r="R69" s="11">
        <f>SUM('Model inputs'!R70)</f>
        <v>106250</v>
      </c>
      <c r="S69" s="11">
        <f>SUM('Model inputs'!S70)</f>
        <v>106250</v>
      </c>
    </row>
    <row r="70" outlineLevel="1">
      <c r="A70" t="inlineStr" s="27">
        <is>
          <t xml:space="preserve">Revenue &gt; Harbor Bay</t>
        </is>
      </c>
      <c r="D70" s="10">
        <f>0</f>
        <v>0</v>
      </c>
      <c r="E70" s="10">
        <f>'Model inputs'!E60*'Model inputs'!B7</f>
        <v>106250</v>
      </c>
      <c r="F70" s="10">
        <f>'Model inputs'!F60*'Model inputs'!B7</f>
        <v>106250</v>
      </c>
      <c r="G70" s="10">
        <f>'Model inputs'!G60*'Model inputs'!B7</f>
        <v>106250</v>
      </c>
      <c r="H70" s="10">
        <f>'Model inputs'!H60*'Model inputs'!B7</f>
        <v>106250</v>
      </c>
      <c r="I70" s="10">
        <f>'Model inputs'!I60*'Model inputs'!B7</f>
        <v>106250</v>
      </c>
      <c r="J70" s="10">
        <f>'Model inputs'!J60*'Model inputs'!B7</f>
        <v>106250</v>
      </c>
      <c r="K70" s="10">
        <f>'Model inputs'!K60*'Model inputs'!B7</f>
        <v>106250</v>
      </c>
      <c r="L70" s="10">
        <f>'Model inputs'!L60*'Model inputs'!B7</f>
        <v>106250</v>
      </c>
      <c r="M70" s="10">
        <f>'Model inputs'!M60*'Model inputs'!B7</f>
        <v>106250</v>
      </c>
      <c r="N70" s="10">
        <f>'Model inputs'!N60*'Model inputs'!B7</f>
        <v>106250</v>
      </c>
      <c r="O70" s="10">
        <f>'Model inputs'!O60*'Model inputs'!B7</f>
        <v>106250</v>
      </c>
      <c r="P70" s="10">
        <f>'Model inputs'!P60*'Model inputs'!B7</f>
        <v>106250</v>
      </c>
      <c r="Q70" s="10">
        <f>'Model inputs'!Q60*'Model inputs'!B7</f>
        <v>106250</v>
      </c>
      <c r="R70" s="10">
        <f>'Model inputs'!R60*'Model inputs'!B7</f>
        <v>106250</v>
      </c>
      <c r="S70" s="10">
        <f>'Model inputs'!S60*'Model inputs'!B7</f>
        <v>106250</v>
      </c>
    </row>
    <row r="71">
      <c r="A71" t="inlineStr" s="26">
        <is>
          <t xml:space="preserve">Revenue</t>
        </is>
      </c>
      <c r="D71" s="11">
        <f>SUM('Model inputs'!D72)</f>
        <v>0</v>
      </c>
      <c r="E71" s="11">
        <f>SUM('Model inputs'!E72)</f>
        <v>56160</v>
      </c>
    </row>
    <row r="72" outlineLevel="1">
      <c r="A72" t="inlineStr" s="27">
        <is>
          <t xml:space="preserve">Revenue &gt; Harbor Bay</t>
        </is>
      </c>
      <c r="D72" s="10">
        <f>'Model inputs'!D70</f>
        <v>0</v>
      </c>
      <c r="E72" s="10">
        <f>'Model inputs'!E62*'Scenario assumptions side by si'!D7</f>
        <v>56160</v>
      </c>
    </row>
    <row r="73">
      <c r="A73" t="inlineStr" s="26">
        <is>
          <t xml:space="preserve">Revenue</t>
        </is>
      </c>
      <c r="D73" s="11">
        <f>SUM('Model inputs'!D74)</f>
        <v>0</v>
      </c>
      <c r="E73" s="11">
        <f>SUM('Model inputs'!E74)</f>
        <v>175500</v>
      </c>
    </row>
    <row r="74" outlineLevel="1">
      <c r="A74" t="inlineStr" s="27">
        <is>
          <t xml:space="preserve">Revenue &gt; Harbor Bay</t>
        </is>
      </c>
      <c r="D74" s="10">
        <f>'Model inputs'!D70</f>
        <v>0</v>
      </c>
      <c r="E74" s="10">
        <f>'Model inputs'!E64*'Scenario assumptions side by si'!C7</f>
        <v>175500</v>
      </c>
    </row>
    <row r="75">
      <c r="A75" t="inlineStr" s="26">
        <is>
          <t xml:space="preserve">Visits</t>
        </is>
      </c>
      <c r="D75" s="6">
        <f>SUM('Model inputs'!D76)</f>
        <v>0</v>
      </c>
      <c r="E75" s="6">
        <f>SUM('Model inputs'!E76)</f>
        <v>50000</v>
      </c>
      <c r="F75" s="6">
        <f>SUM('Model inputs'!F76)</f>
        <v>50000</v>
      </c>
      <c r="G75" s="6">
        <f>SUM('Model inputs'!G76)</f>
        <v>50000</v>
      </c>
      <c r="H75" s="6">
        <f>SUM('Model inputs'!H76)</f>
        <v>50000</v>
      </c>
      <c r="I75" s="6">
        <f>SUM('Model inputs'!I76)</f>
        <v>50000</v>
      </c>
      <c r="J75" s="6">
        <f>SUM('Model inputs'!J76)</f>
        <v>50000</v>
      </c>
      <c r="K75" s="6">
        <f>SUM('Model inputs'!K76)</f>
        <v>50000</v>
      </c>
      <c r="L75" s="6">
        <f>SUM('Model inputs'!L76)</f>
        <v>50000</v>
      </c>
      <c r="M75" s="6">
        <f>SUM('Model inputs'!M76)</f>
        <v>50000</v>
      </c>
      <c r="N75" s="6">
        <f>SUM('Model inputs'!N76)</f>
        <v>50000</v>
      </c>
      <c r="O75" s="6">
        <f>SUM('Model inputs'!O76)</f>
        <v>50000</v>
      </c>
      <c r="P75" s="6">
        <f>SUM('Model inputs'!P76)</f>
        <v>50000</v>
      </c>
      <c r="Q75" s="6">
        <f>SUM('Model inputs'!Q76)</f>
        <v>50000</v>
      </c>
      <c r="R75" s="6">
        <f>SUM('Model inputs'!R76)</f>
        <v>50000</v>
      </c>
      <c r="S75" s="6">
        <f>SUM('Model inputs'!S76)</f>
        <v>50000</v>
      </c>
    </row>
    <row r="76" outlineLevel="1">
      <c r="A76" t="inlineStr" s="27">
        <is>
          <t xml:space="preserve">Visits &gt; Harbor Bay</t>
        </is>
      </c>
      <c r="D76" s="14">
        <f>0</f>
        <v>0</v>
      </c>
      <c r="E76" s="14">
        <f>IF('Model inputs'!C52="","",'Model inputs'!C52)</f>
        <v>50000</v>
      </c>
      <c r="F76" s="14">
        <f>IF('Model inputs'!C52="","",'Model inputs'!C52)</f>
        <v>50000</v>
      </c>
      <c r="G76" s="14">
        <f>IF('Model inputs'!C52="","",'Model inputs'!C52)</f>
        <v>50000</v>
      </c>
      <c r="H76" s="14">
        <f>IF('Model inputs'!C52="","",'Model inputs'!C52)</f>
        <v>50000</v>
      </c>
      <c r="I76" s="14">
        <f>IF('Model inputs'!C52="","",'Model inputs'!C52)</f>
        <v>50000</v>
      </c>
      <c r="J76" s="14">
        <f>IF('Model inputs'!C52="","",'Model inputs'!C52)</f>
        <v>50000</v>
      </c>
      <c r="K76" s="14">
        <f>IF('Model inputs'!C52="","",'Model inputs'!C52)</f>
        <v>50000</v>
      </c>
      <c r="L76" s="14">
        <f>IF('Model inputs'!C52="","",'Model inputs'!C52)</f>
        <v>50000</v>
      </c>
      <c r="M76" s="14">
        <f>IF('Model inputs'!C52="","",'Model inputs'!C52)</f>
        <v>50000</v>
      </c>
      <c r="N76" s="14">
        <f>IF('Model inputs'!C52="","",'Model inputs'!C52)</f>
        <v>50000</v>
      </c>
      <c r="O76" s="14">
        <f>IF('Model inputs'!C52="","",'Model inputs'!C52)</f>
        <v>50000</v>
      </c>
      <c r="P76" s="14">
        <f>IF('Model inputs'!C52="","",'Model inputs'!C52)</f>
        <v>50000</v>
      </c>
      <c r="Q76" s="14">
        <f>IF('Model inputs'!C52="","",'Model inputs'!C52)</f>
        <v>50000</v>
      </c>
      <c r="R76" s="14">
        <f>IF('Model inputs'!C52="","",'Model inputs'!C52)</f>
        <v>50000</v>
      </c>
      <c r="S76" s="14">
        <f>IF('Model inputs'!C52="","",'Model inputs'!C52)</f>
        <v>50000</v>
      </c>
    </row>
    <row r="77">
      <c r="A77" t="inlineStr" s="26">
        <is>
          <t xml:space="preserve">Assumed basket cost total · Harbor Bay assumptions</t>
        </is>
      </c>
      <c r="B77" s="23">
        <f>SUM('Model inputs'!B80,'Model inputs'!B81,'Model inputs'!B82,'Model inputs'!B83,'Model inputs'!B84,'Model inputs'!B85,'Model inputs'!B86,'Model inputs'!B87)</f>
        <v>389</v>
      </c>
    </row>
    <row r="78">
      <c r="A78" t="inlineStr" s="26">
        <is>
          <t xml:space="preserve">Assumed basket price total · Harbor Bay assumptions</t>
        </is>
      </c>
      <c r="B78" s="23">
        <f>SUM('Model inputs'!B89,'Model inputs'!B90,'Model inputs'!B91,'Model inputs'!B92,'Model inputs'!B93,'Model inputs'!B94,'Model inputs'!B95,'Model inputs'!B96)</f>
        <v>773</v>
      </c>
    </row>
    <row r="79">
      <c r="A79" t="inlineStr" s="26">
        <is>
          <t xml:space="preserve">Weighted catalog cost</t>
        </is>
      </c>
      <c r="B79" s="21">
        <f>'Model inputs'!B106*'Model inputs'!B97</f>
        <v>0</v>
      </c>
    </row>
    <row r="80" outlineLevel="1">
      <c r="A80" t="inlineStr" s="27">
        <is>
          <t xml:space="preserve">Weighted catalog cost &gt; boots</t>
        </is>
      </c>
      <c r="B80" s="23">
        <f>'Model inputs'!B107*'Model inputs'!B98</f>
        <v>65</v>
      </c>
    </row>
    <row r="81" outlineLevel="1">
      <c r="A81" t="inlineStr" s="27">
        <is>
          <t xml:space="preserve">Weighted catalog cost &gt; bottle</t>
        </is>
      </c>
      <c r="B81" s="23">
        <f>'Model inputs'!B108*'Model inputs'!B99</f>
        <v>15</v>
      </c>
    </row>
    <row r="82" outlineLevel="1">
      <c r="A82" t="inlineStr" s="27">
        <is>
          <t xml:space="preserve">Weighted catalog cost &gt; charger</t>
        </is>
      </c>
      <c r="B82" s="23">
        <f>'Model inputs'!B109*'Model inputs'!B100</f>
        <v>22</v>
      </c>
    </row>
    <row r="83" outlineLevel="1">
      <c r="A83" t="inlineStr" s="27">
        <is>
          <t xml:space="preserve">Weighted catalog cost &gt; lights</t>
        </is>
      </c>
      <c r="B83" s="23">
        <f>'Model inputs'!B110*'Model inputs'!B101</f>
        <v>7</v>
      </c>
    </row>
    <row r="84" outlineLevel="1">
      <c r="A84" t="inlineStr" s="27">
        <is>
          <t xml:space="preserve">Weighted catalog cost &gt; pack</t>
        </is>
      </c>
      <c r="B84" s="23">
        <f>'Model inputs'!B111*'Model inputs'!B102</f>
        <v>85</v>
      </c>
    </row>
    <row r="85" outlineLevel="1">
      <c r="A85" t="inlineStr" s="27">
        <is>
          <t xml:space="preserve">Weighted catalog cost &gt; poles</t>
        </is>
      </c>
      <c r="B85" s="23">
        <f>'Model inputs'!B112*'Model inputs'!B103</f>
        <v>45</v>
      </c>
    </row>
    <row r="86" outlineLevel="1">
      <c r="A86" t="inlineStr" s="27">
        <is>
          <t xml:space="preserve">Weighted catalog cost &gt; pouch</t>
        </is>
      </c>
      <c r="B86" s="23">
        <f>'Model inputs'!B113*'Model inputs'!B104</f>
        <v>10</v>
      </c>
    </row>
    <row r="87" outlineLevel="1">
      <c r="A87" t="inlineStr" s="27">
        <is>
          <t xml:space="preserve">Weighted catalog cost &gt; tent</t>
        </is>
      </c>
      <c r="B87" s="23">
        <f>'Model inputs'!B114*'Model inputs'!B105</f>
        <v>140</v>
      </c>
    </row>
    <row r="88">
      <c r="A88" t="inlineStr" s="26">
        <is>
          <t xml:space="preserve">Weighted catalog price</t>
        </is>
      </c>
      <c r="B88" s="21">
        <f>'Model inputs'!B115*'Model inputs'!B97</f>
        <v>0</v>
      </c>
    </row>
    <row r="89" outlineLevel="1">
      <c r="A89" t="inlineStr" s="27">
        <is>
          <t xml:space="preserve">Weighted catalog price &gt; boots</t>
        </is>
      </c>
      <c r="B89" s="23">
        <f>'Model inputs'!B116*'Model inputs'!B98</f>
        <v>120</v>
      </c>
    </row>
    <row r="90" outlineLevel="1">
      <c r="A90" t="inlineStr" s="27">
        <is>
          <t xml:space="preserve">Weighted catalog price &gt; bottle</t>
        </is>
      </c>
      <c r="B90" s="23">
        <f>'Model inputs'!B117*'Model inputs'!B99</f>
        <v>35</v>
      </c>
    </row>
    <row r="91" outlineLevel="1">
      <c r="A91" t="inlineStr" s="27">
        <is>
          <t xml:space="preserve">Weighted catalog price &gt; charger</t>
        </is>
      </c>
      <c r="B91" s="23">
        <f>'Model inputs'!B118*'Model inputs'!B100</f>
        <v>45</v>
      </c>
    </row>
    <row r="92" outlineLevel="1">
      <c r="A92" t="inlineStr" s="27">
        <is>
          <t xml:space="preserve">Weighted catalog price &gt; lights</t>
        </is>
      </c>
      <c r="B92" s="23">
        <f>'Model inputs'!B119*'Model inputs'!B101</f>
        <v>18</v>
      </c>
    </row>
    <row r="93" outlineLevel="1">
      <c r="A93" t="inlineStr" s="27">
        <is>
          <t xml:space="preserve">Weighted catalog price &gt; pack</t>
        </is>
      </c>
      <c r="B93" s="23">
        <f>'Model inputs'!B120*'Model inputs'!B102</f>
        <v>160</v>
      </c>
    </row>
    <row r="94" outlineLevel="1">
      <c r="A94" t="inlineStr" s="27">
        <is>
          <t xml:space="preserve">Weighted catalog price &gt; poles</t>
        </is>
      </c>
      <c r="B94" s="23">
        <f>'Model inputs'!B121*'Model inputs'!B103</f>
        <v>90</v>
      </c>
    </row>
    <row r="95" outlineLevel="1">
      <c r="A95" t="inlineStr" s="27">
        <is>
          <t xml:space="preserve">Weighted catalog price &gt; pouch</t>
        </is>
      </c>
      <c r="B95" s="23">
        <f>'Model inputs'!B122*'Model inputs'!B104</f>
        <v>25</v>
      </c>
    </row>
    <row r="96" outlineLevel="1">
      <c r="A96" t="inlineStr" s="27">
        <is>
          <t xml:space="preserve">Weighted catalog price &gt; tent</t>
        </is>
      </c>
      <c r="B96" s="23">
        <f>'Model inputs'!B123*'Model inputs'!B105</f>
        <v>280</v>
      </c>
    </row>
    <row r="97">
      <c r="A97" t="inlineStr" s="26">
        <is>
          <t xml:space="preserve">Assumed unit mix weight (provisional)</t>
        </is>
      </c>
      <c r="B97" s="21">
        <v>0</v>
      </c>
    </row>
    <row r="98" outlineLevel="1">
      <c r="A98" t="inlineStr" s="27">
        <is>
          <t xml:space="preserve">Assumed unit mix weight (provisional) &gt; boots</t>
        </is>
      </c>
      <c r="B98" s="23">
        <f>'Seed product catalog — provisio'!F5</f>
        <v>1</v>
      </c>
    </row>
    <row r="99" outlineLevel="1">
      <c r="A99" t="inlineStr" s="27">
        <is>
          <t xml:space="preserve">Assumed unit mix weight (provisional) &gt; bottle</t>
        </is>
      </c>
      <c r="B99" s="23">
        <f>'Seed product catalog — provisio'!F6</f>
        <v>1</v>
      </c>
    </row>
    <row r="100" outlineLevel="1">
      <c r="A100" t="inlineStr" s="27">
        <is>
          <t xml:space="preserve">Assumed unit mix weight (provisional) &gt; charger</t>
        </is>
      </c>
      <c r="B100" s="23">
        <f>'Seed product catalog — provisio'!F7</f>
        <v>1</v>
      </c>
    </row>
    <row r="101" outlineLevel="1">
      <c r="A101" t="inlineStr" s="27">
        <is>
          <t xml:space="preserve">Assumed unit mix weight (provisional) &gt; lights</t>
        </is>
      </c>
      <c r="B101" s="23">
        <f>'Seed product catalog — provisio'!F8</f>
        <v>1</v>
      </c>
    </row>
    <row r="102" outlineLevel="1">
      <c r="A102" t="inlineStr" s="27">
        <is>
          <t xml:space="preserve">Assumed unit mix weight (provisional) &gt; pack</t>
        </is>
      </c>
      <c r="B102" s="23">
        <f>'Seed product catalog — provisio'!F9</f>
        <v>1</v>
      </c>
    </row>
    <row r="103" outlineLevel="1">
      <c r="A103" t="inlineStr" s="27">
        <is>
          <t xml:space="preserve">Assumed unit mix weight (provisional) &gt; poles</t>
        </is>
      </c>
      <c r="B103" s="23">
        <f>'Seed product catalog — provisio'!F10</f>
        <v>1</v>
      </c>
    </row>
    <row r="104" outlineLevel="1">
      <c r="A104" t="inlineStr" s="27">
        <is>
          <t xml:space="preserve">Assumed unit mix weight (provisional) &gt; pouch</t>
        </is>
      </c>
      <c r="B104" s="23">
        <f>'Seed product catalog — provisio'!F11</f>
        <v>1</v>
      </c>
    </row>
    <row r="105" outlineLevel="1">
      <c r="A105" t="inlineStr" s="27">
        <is>
          <t xml:space="preserve">Assumed unit mix weight (provisional) &gt; tent</t>
        </is>
      </c>
      <c r="B105" s="23">
        <f>'Seed product catalog — provisio'!F12</f>
        <v>1</v>
      </c>
    </row>
    <row r="106">
      <c r="A106" t="inlineStr" s="26">
        <is>
          <t xml:space="preserve">Catalog cost</t>
        </is>
      </c>
      <c r="B106" s="22">
        <v>0</v>
      </c>
    </row>
    <row r="107" outlineLevel="1">
      <c r="A107" t="inlineStr" s="27">
        <is>
          <t xml:space="preserve">Catalog cost &gt; boots</t>
        </is>
      </c>
      <c r="B107" s="9">
        <f>'Seed product catalog — provisio'!D5</f>
        <v>65</v>
      </c>
    </row>
    <row r="108" outlineLevel="1">
      <c r="A108" t="inlineStr" s="27">
        <is>
          <t xml:space="preserve">Catalog cost &gt; bottle</t>
        </is>
      </c>
      <c r="B108" s="9">
        <f>'Seed product catalog — provisio'!D6</f>
        <v>15</v>
      </c>
    </row>
    <row r="109" outlineLevel="1">
      <c r="A109" t="inlineStr" s="27">
        <is>
          <t xml:space="preserve">Catalog cost &gt; charger</t>
        </is>
      </c>
      <c r="B109" s="9">
        <f>'Seed product catalog — provisio'!D7</f>
        <v>22</v>
      </c>
    </row>
    <row r="110" outlineLevel="1">
      <c r="A110" t="inlineStr" s="27">
        <is>
          <t xml:space="preserve">Catalog cost &gt; lights</t>
        </is>
      </c>
      <c r="B110" s="9">
        <f>'Seed product catalog — provisio'!D8</f>
        <v>7</v>
      </c>
    </row>
    <row r="111" outlineLevel="1">
      <c r="A111" t="inlineStr" s="27">
        <is>
          <t xml:space="preserve">Catalog cost &gt; pack</t>
        </is>
      </c>
      <c r="B111" s="9">
        <f>'Seed product catalog — provisio'!D9</f>
        <v>85</v>
      </c>
    </row>
    <row r="112" outlineLevel="1">
      <c r="A112" t="inlineStr" s="27">
        <is>
          <t xml:space="preserve">Catalog cost &gt; poles</t>
        </is>
      </c>
      <c r="B112" s="9">
        <f>'Seed product catalog — provisio'!D10</f>
        <v>45</v>
      </c>
    </row>
    <row r="113" outlineLevel="1">
      <c r="A113" t="inlineStr" s="27">
        <is>
          <t xml:space="preserve">Catalog cost &gt; pouch</t>
        </is>
      </c>
      <c r="B113" s="9">
        <f>'Seed product catalog — provisio'!D11</f>
        <v>10</v>
      </c>
    </row>
    <row r="114" outlineLevel="1">
      <c r="A114" t="inlineStr" s="27">
        <is>
          <t xml:space="preserve">Catalog cost &gt; tent</t>
        </is>
      </c>
      <c r="B114" s="9">
        <f>'Seed product catalog — provisio'!D12</f>
        <v>140</v>
      </c>
    </row>
    <row r="115">
      <c r="A115" t="inlineStr" s="26">
        <is>
          <t xml:space="preserve">Catalog price</t>
        </is>
      </c>
      <c r="B115" s="22">
        <v>0</v>
      </c>
    </row>
    <row r="116" outlineLevel="1">
      <c r="A116" t="inlineStr" s="27">
        <is>
          <t xml:space="preserve">Catalog price &gt; boots</t>
        </is>
      </c>
      <c r="B116" s="9">
        <f>'Seed product catalog — provisio'!C5</f>
        <v>120</v>
      </c>
    </row>
    <row r="117" outlineLevel="1">
      <c r="A117" t="inlineStr" s="27">
        <is>
          <t xml:space="preserve">Catalog price &gt; bottle</t>
        </is>
      </c>
      <c r="B117" s="9">
        <f>'Seed product catalog — provisio'!C6</f>
        <v>35</v>
      </c>
    </row>
    <row r="118" outlineLevel="1">
      <c r="A118" t="inlineStr" s="27">
        <is>
          <t xml:space="preserve">Catalog price &gt; charger</t>
        </is>
      </c>
      <c r="B118" s="9">
        <f>'Seed product catalog — provisio'!C7</f>
        <v>45</v>
      </c>
    </row>
    <row r="119" outlineLevel="1">
      <c r="A119" t="inlineStr" s="27">
        <is>
          <t xml:space="preserve">Catalog price &gt; lights</t>
        </is>
      </c>
      <c r="B119" s="9">
        <f>'Seed product catalog — provisio'!C8</f>
        <v>18</v>
      </c>
    </row>
    <row r="120" outlineLevel="1">
      <c r="A120" t="inlineStr" s="27">
        <is>
          <t xml:space="preserve">Catalog price &gt; pack</t>
        </is>
      </c>
      <c r="B120" s="9">
        <f>'Seed product catalog — provisio'!C9</f>
        <v>160</v>
      </c>
    </row>
    <row r="121" outlineLevel="1">
      <c r="A121" t="inlineStr" s="27">
        <is>
          <t xml:space="preserve">Catalog price &gt; poles</t>
        </is>
      </c>
      <c r="B121" s="9">
        <f>'Seed product catalog — provisio'!C10</f>
        <v>90</v>
      </c>
    </row>
    <row r="122" outlineLevel="1">
      <c r="A122" t="inlineStr" s="27">
        <is>
          <t xml:space="preserve">Catalog price &gt; pouch</t>
        </is>
      </c>
      <c r="B122" s="9">
        <f>'Seed product catalog — provisio'!C11</f>
        <v>25</v>
      </c>
    </row>
    <row r="123" outlineLevel="1">
      <c r="A123" t="inlineStr" s="27">
        <is>
          <t xml:space="preserve">Catalog price &gt; tent</t>
        </is>
      </c>
      <c r="B123" s="9">
        <f>'Seed product catalog — provisio'!C12</f>
        <v>280</v>
      </c>
    </row>
    <row r="124">
      <c r="A124" t="inlineStr" s="26">
        <is>
          <t xml:space="preserve">Assumed basket cost total · Downside</t>
        </is>
      </c>
      <c r="B124" s="23">
        <f>SUM('Model inputs'!B170,'Model inputs'!B171,'Model inputs'!B172,'Model inputs'!B173,'Model inputs'!B174,'Model inputs'!B175,'Model inputs'!B176,'Model inputs'!B177)</f>
        <v>389</v>
      </c>
    </row>
    <row r="125">
      <c r="A125" t="inlineStr" s="26">
        <is>
          <t xml:space="preserve">Assumed basket cost total · Growth</t>
        </is>
      </c>
      <c r="B125" s="23">
        <f>SUM('Model inputs'!B179,'Model inputs'!B180,'Model inputs'!B181,'Model inputs'!B182,'Model inputs'!B183,'Model inputs'!B184,'Model inputs'!B185,'Model inputs'!B186)</f>
        <v>389</v>
      </c>
    </row>
    <row r="126">
      <c r="A126" t="inlineStr" s="26">
        <is>
          <t xml:space="preserve">Assumed basket price total · Downside</t>
        </is>
      </c>
      <c r="B126" s="23">
        <f>SUM('Model inputs'!B188,'Model inputs'!B189,'Model inputs'!B190,'Model inputs'!B191,'Model inputs'!B192,'Model inputs'!B193,'Model inputs'!B194,'Model inputs'!B195)</f>
        <v>773</v>
      </c>
    </row>
    <row r="127">
      <c r="A127" t="inlineStr" s="26">
        <is>
          <t xml:space="preserve">Assumed basket price total · Growth</t>
        </is>
      </c>
      <c r="B127" s="23">
        <f>SUM('Model inputs'!B197,'Model inputs'!B198,'Model inputs'!B199,'Model inputs'!B200,'Model inputs'!B201,'Model inputs'!B202,'Model inputs'!B203,'Model inputs'!B204)</f>
        <v>773</v>
      </c>
    </row>
    <row r="128">
      <c r="A128" t="inlineStr" s="26">
        <is>
          <t xml:space="preserve">Campaign expense</t>
        </is>
      </c>
      <c r="D128" s="11">
        <f>IF('Model inputs'!D12="","",'Model inputs'!D12)</f>
        <v>0</v>
      </c>
      <c r="E128" s="11">
        <f>IF('Model inputs'!E12="","",'Model inputs'!E12)</f>
        <v>18000</v>
      </c>
    </row>
    <row r="129" outlineLevel="1">
      <c r="A129" t="inlineStr" s="27">
        <is>
          <t xml:space="preserve">Campaign expense &gt; Harbor Bay</t>
        </is>
      </c>
      <c r="D129" s="10">
        <f>'Model inputs'!D11</f>
        <v>0</v>
      </c>
      <c r="E129" s="10">
        <f>IF('Model inputs'!C162="","",'Model inputs'!C162)</f>
        <v>18000</v>
      </c>
    </row>
    <row r="130">
      <c r="A130" t="inlineStr" s="26">
        <is>
          <t xml:space="preserve">Campaign expense</t>
        </is>
      </c>
      <c r="D130" s="11">
        <f>IF('Model inputs'!D13="","",'Model inputs'!D13)</f>
        <v>0</v>
      </c>
      <c r="E130" s="11">
        <f>IF('Model inputs'!E13="","",'Model inputs'!E13)</f>
        <v>20000</v>
      </c>
    </row>
    <row r="131" outlineLevel="1">
      <c r="A131" t="inlineStr" s="27">
        <is>
          <t xml:space="preserve">Campaign expense &gt; Harbor Bay</t>
        </is>
      </c>
      <c r="D131" s="10">
        <f>'Model inputs'!D11</f>
        <v>0</v>
      </c>
      <c r="E131" s="10">
        <f>IF('Model inputs'!C164="","",'Model inputs'!C164)</f>
        <v>20000</v>
      </c>
    </row>
    <row r="132">
      <c r="A132" t="inlineStr" s="26">
        <is>
          <t xml:space="preserve">Catalog cost-to-sales ratio (provisional) · Product cost per order (provisional) · Harbor Bay monthly P&amp;L and cash · Base</t>
        </is>
      </c>
      <c r="C132" s="8">
        <f>IFERROR('Model inputs'!B77/'Model inputs'!B78,"")</f>
        <v>0.5032341526520052</v>
      </c>
    </row>
    <row r="133">
      <c r="A133" t="inlineStr" s="26">
        <is>
          <t xml:space="preserve">Fulfillment cost</t>
        </is>
      </c>
      <c r="D133" s="11">
        <f>SUM('Model inputs'!D134)</f>
        <v>0</v>
      </c>
      <c r="E133" s="11">
        <f>SUM('Model inputs'!E134)</f>
        <v>10080</v>
      </c>
    </row>
    <row r="134" outlineLevel="1">
      <c r="A134" t="inlineStr" s="27">
        <is>
          <t xml:space="preserve">Fulfillment cost &gt; Harbor Bay</t>
        </is>
      </c>
      <c r="D134" s="10">
        <f>'Model inputs'!D30</f>
        <v>0</v>
      </c>
      <c r="E134" s="10">
        <f>'Model inputs'!E62*'Scenario assumptions side by si'!D9</f>
        <v>10080</v>
      </c>
    </row>
    <row r="135">
      <c r="A135" t="inlineStr" s="26">
        <is>
          <t xml:space="preserve">Fulfillment cost</t>
        </is>
      </c>
      <c r="D135" s="11">
        <f>SUM('Model inputs'!D136)</f>
        <v>0</v>
      </c>
      <c r="E135" s="11">
        <f>SUM('Model inputs'!E136)</f>
        <v>21450</v>
      </c>
    </row>
    <row r="136" outlineLevel="1">
      <c r="A136" t="inlineStr" s="27">
        <is>
          <t xml:space="preserve">Fulfillment cost &gt; Harbor Bay</t>
        </is>
      </c>
      <c r="D136" s="10">
        <f>'Model inputs'!D30</f>
        <v>0</v>
      </c>
      <c r="E136" s="10">
        <f>'Model inputs'!E64*'Scenario assumptions side by si'!C9</f>
        <v>21450</v>
      </c>
    </row>
    <row r="137">
      <c r="A137" t="inlineStr" s="26">
        <is>
          <t xml:space="preserve">Inference expense</t>
        </is>
      </c>
      <c r="D137" s="11">
        <f>IF('Model inputs'!D43="","",'Model inputs'!D43)</f>
        <v>0</v>
      </c>
      <c r="E137" s="11">
        <f>IF('Model inputs'!E43="","",'Model inputs'!E43)</f>
        <v>3500</v>
      </c>
    </row>
    <row r="138" outlineLevel="1">
      <c r="A138" t="inlineStr" s="27">
        <is>
          <t xml:space="preserve">Inference expense &gt; Harbor Bay</t>
        </is>
      </c>
      <c r="D138" s="10">
        <f>'Model inputs'!D42</f>
        <v>0</v>
      </c>
      <c r="E138" s="10">
        <f>IF('Model inputs'!C166="","",'Model inputs'!C166)</f>
        <v>3500</v>
      </c>
    </row>
    <row r="139">
      <c r="A139" t="inlineStr" s="26">
        <is>
          <t xml:space="preserve">Inference expense</t>
        </is>
      </c>
      <c r="D139" s="11">
        <f>IF('Model inputs'!D44="","",'Model inputs'!D44)</f>
        <v>0</v>
      </c>
      <c r="E139" s="11">
        <f>IF('Model inputs'!E44="","",'Model inputs'!E44)</f>
        <v>3500</v>
      </c>
    </row>
    <row r="140" outlineLevel="1">
      <c r="A140" t="inlineStr" s="27">
        <is>
          <t xml:space="preserve">Inference expense &gt; Harbor Bay</t>
        </is>
      </c>
      <c r="D140" s="10">
        <f>'Model inputs'!D42</f>
        <v>0</v>
      </c>
      <c r="E140" s="10">
        <f>IF('Model inputs'!C168="","",'Model inputs'!C168)</f>
        <v>3500</v>
      </c>
    </row>
    <row r="141">
      <c r="A141" t="inlineStr" s="26">
        <is>
          <t xml:space="preserve">Infrastructure cost per month (synthetic demo)</t>
        </is>
      </c>
      <c r="C141" s="11">
        <f>SUM('Model inputs'!C142)</f>
        <v>500</v>
      </c>
    </row>
    <row r="142" outlineLevel="1">
      <c r="A142" t="inlineStr" s="27">
        <is>
          <t xml:space="preserve">Infrastructure cost per month (synthetic demo) &gt; Harbor Bay</t>
        </is>
      </c>
      <c r="C142" s="10">
        <f>'Scenario assumptions side by si'!D12</f>
        <v>500</v>
      </c>
    </row>
    <row r="143">
      <c r="A143" t="inlineStr" s="26">
        <is>
          <t xml:space="preserve">Infrastructure cost per month (synthetic demo)</t>
        </is>
      </c>
      <c r="C143" s="11">
        <f>SUM('Model inputs'!C144)</f>
        <v>500</v>
      </c>
    </row>
    <row r="144" outlineLevel="1">
      <c r="A144" t="inlineStr" s="27">
        <is>
          <t xml:space="preserve">Infrastructure cost per month (synthetic demo) &gt; Harbor Bay</t>
        </is>
      </c>
      <c r="C144" s="10">
        <f>'Harbor Bay assumptions'!B12</f>
        <v>500</v>
      </c>
    </row>
    <row r="145">
      <c r="A145" t="inlineStr" s="26">
        <is>
          <t xml:space="preserve">Product cost</t>
        </is>
      </c>
      <c r="D145" s="11">
        <f>SUM('Model inputs'!D146)</f>
        <v>0</v>
      </c>
      <c r="E145" s="11">
        <f>SUM('Model inputs'!E146)</f>
        <v>28261.630012936614</v>
      </c>
    </row>
    <row r="146" outlineLevel="1">
      <c r="A146" t="inlineStr" s="27">
        <is>
          <t xml:space="preserve">Product cost &gt; Harbor Bay</t>
        </is>
      </c>
      <c r="D146" s="10">
        <f>'Model inputs'!D66</f>
        <v>0</v>
      </c>
      <c r="E146" s="10">
        <f>'Model inputs'!E62*'Scenario assumptions side by si'!D8</f>
        <v>28261.630012936614</v>
      </c>
    </row>
    <row r="147">
      <c r="A147" t="inlineStr" s="26">
        <is>
          <t xml:space="preserve">Product cost</t>
        </is>
      </c>
      <c r="D147" s="11">
        <f>SUM('Model inputs'!D148)</f>
        <v>0</v>
      </c>
      <c r="E147" s="11">
        <f>SUM('Model inputs'!E148)</f>
        <v>88317.59379042691</v>
      </c>
    </row>
    <row r="148" outlineLevel="1">
      <c r="A148" t="inlineStr" s="27">
        <is>
          <t xml:space="preserve">Product cost &gt; Harbor Bay</t>
        </is>
      </c>
      <c r="D148" s="10">
        <f>'Model inputs'!D66</f>
        <v>0</v>
      </c>
      <c r="E148" s="10">
        <f>'Model inputs'!E64*'Scenario assumptions side by si'!C8</f>
        <v>88317.59379042691</v>
      </c>
    </row>
    <row r="149">
      <c r="A149" t="inlineStr" s="26">
        <is>
          <t xml:space="preserve">Visits</t>
        </is>
      </c>
      <c r="D149" s="6">
        <f>SUM('Model inputs'!D150)</f>
        <v>0</v>
      </c>
      <c r="E149" s="6">
        <f>SUM('Model inputs'!E150)</f>
        <v>40000</v>
      </c>
    </row>
    <row r="150" outlineLevel="1">
      <c r="A150" t="inlineStr" s="27">
        <is>
          <t xml:space="preserve">Visits &gt; Harbor Bay</t>
        </is>
      </c>
      <c r="D150" s="14">
        <f>'Model inputs'!D76</f>
        <v>0</v>
      </c>
      <c r="E150" s="14">
        <f>IF('Scenario assumptions side by si'!D5="","",'Scenario assumptions side by si'!D5)</f>
        <v>40000</v>
      </c>
    </row>
    <row r="151">
      <c r="A151" t="inlineStr" s="26">
        <is>
          <t xml:space="preserve">Visits</t>
        </is>
      </c>
      <c r="D151" s="6">
        <f>SUM('Model inputs'!D152)</f>
        <v>0</v>
      </c>
      <c r="E151" s="6">
        <f>SUM('Model inputs'!E152)</f>
        <v>65000</v>
      </c>
    </row>
    <row r="152" outlineLevel="1">
      <c r="A152" t="inlineStr" s="27">
        <is>
          <t xml:space="preserve">Visits &gt; Harbor Bay</t>
        </is>
      </c>
      <c r="D152" s="14">
        <f>'Model inputs'!D76</f>
        <v>0</v>
      </c>
      <c r="E152" s="14">
        <f>IF('Scenario assumptions side by si'!C5="","",'Scenario assumptions side by si'!C5)</f>
        <v>65000</v>
      </c>
    </row>
    <row r="153">
      <c r="A153" t="inlineStr" s="26">
        <is>
          <t xml:space="preserve">Contribution</t>
        </is>
      </c>
      <c r="D153" s="11">
        <f>IF('Model inputs'!D25="","",'Model inputs'!D25)</f>
        <v>0</v>
      </c>
      <c r="E153" s="11">
        <f>IF('Model inputs'!E25="","",'Model inputs'!E25)</f>
        <v>-4181.630012936614</v>
      </c>
    </row>
    <row r="154" outlineLevel="1">
      <c r="A154" t="inlineStr" s="27">
        <is>
          <t xml:space="preserve">Contribution &gt; Harbor Bay</t>
        </is>
      </c>
      <c r="D154" s="10">
        <f>'Model inputs'!D24</f>
        <v>0</v>
      </c>
      <c r="E154" s="10">
        <f>IF('Model inputs'!E158="","",'Model inputs'!E36-'Model inputs'!E129-'Model inputs'!E138-'Model inputs'!E158)</f>
        <v>-4181.630012936614</v>
      </c>
    </row>
    <row r="155">
      <c r="A155" t="inlineStr" s="26">
        <is>
          <t xml:space="preserve">Contribution</t>
        </is>
      </c>
      <c r="D155" s="11">
        <f>IF('Model inputs'!D26="","",'Model inputs'!D26)</f>
        <v>0</v>
      </c>
      <c r="E155" s="11">
        <f>IF('Model inputs'!E26="","",'Model inputs'!E26)</f>
        <v>41732.40620957309</v>
      </c>
    </row>
    <row r="156" outlineLevel="1">
      <c r="A156" t="inlineStr" s="27">
        <is>
          <t xml:space="preserve">Contribution &gt; Harbor Bay</t>
        </is>
      </c>
      <c r="D156" s="10">
        <f>'Model inputs'!D24</f>
        <v>0</v>
      </c>
      <c r="E156" s="10">
        <f>IF('Model inputs'!E160="","",'Model inputs'!E38-'Model inputs'!E131-'Model inputs'!E140-'Model inputs'!E160)</f>
        <v>41732.40620957309</v>
      </c>
    </row>
    <row r="157">
      <c r="A157" t="inlineStr" s="26">
        <is>
          <t xml:space="preserve">Infrastructure expense</t>
        </is>
      </c>
      <c r="D157" s="11">
        <f>IF('Model inputs'!D49="","",'Model inputs'!D49)</f>
        <v>0</v>
      </c>
      <c r="E157" s="11">
        <f>IF('Model inputs'!E49="","",'Model inputs'!E49)</f>
        <v>500</v>
      </c>
    </row>
    <row r="158" outlineLevel="1">
      <c r="A158" t="inlineStr" s="27">
        <is>
          <t xml:space="preserve">Infrastructure expense &gt; Harbor Bay</t>
        </is>
      </c>
      <c r="D158" s="10">
        <f>'Model inputs'!D48</f>
        <v>0</v>
      </c>
      <c r="E158" s="10">
        <f>IF('Model inputs'!C142="","",'Model inputs'!C142)</f>
        <v>500</v>
      </c>
    </row>
    <row r="159">
      <c r="A159" t="inlineStr" s="26">
        <is>
          <t xml:space="preserve">Infrastructure expense</t>
        </is>
      </c>
      <c r="D159" s="11">
        <f>IF('Model inputs'!D50="","",'Model inputs'!D50)</f>
        <v>0</v>
      </c>
      <c r="E159" s="11">
        <f>IF('Model inputs'!E50="","",'Model inputs'!E50)</f>
        <v>500</v>
      </c>
    </row>
    <row r="160" outlineLevel="1">
      <c r="A160" t="inlineStr" s="27">
        <is>
          <t xml:space="preserve">Infrastructure expense &gt; Harbor Bay</t>
        </is>
      </c>
      <c r="D160" s="10">
        <f>'Model inputs'!D48</f>
        <v>0</v>
      </c>
      <c r="E160" s="10">
        <f>IF('Model inputs'!C144="","",'Model inputs'!C144)</f>
        <v>500</v>
      </c>
    </row>
    <row r="161">
      <c r="A161" t="inlineStr" s="26">
        <is>
          <t xml:space="preserve">Campaign spend per month</t>
        </is>
      </c>
      <c r="C161" s="11">
        <f>SUM('Model inputs'!C162)</f>
        <v>18000</v>
      </c>
    </row>
    <row r="162" outlineLevel="1">
      <c r="A162" t="inlineStr" s="27">
        <is>
          <t xml:space="preserve">Campaign spend per month &gt; Harbor Bay</t>
        </is>
      </c>
      <c r="C162" s="10">
        <f>'Scenario assumptions side by si'!D10</f>
        <v>18000</v>
      </c>
    </row>
    <row r="163">
      <c r="A163" t="inlineStr" s="26">
        <is>
          <t xml:space="preserve">Campaign spend per month</t>
        </is>
      </c>
      <c r="C163" s="11">
        <f>SUM('Model inputs'!C164)</f>
        <v>20000</v>
      </c>
    </row>
    <row r="164" outlineLevel="1">
      <c r="A164" t="inlineStr" s="27">
        <is>
          <t xml:space="preserve">Campaign spend per month &gt; Harbor Bay</t>
        </is>
      </c>
      <c r="C164" s="10">
        <f>'Scenario assumptions side by si'!C10</f>
        <v>20000</v>
      </c>
    </row>
    <row r="165">
      <c r="A165" t="inlineStr" s="26">
        <is>
          <t xml:space="preserve">Inference cost per month</t>
        </is>
      </c>
      <c r="C165" s="11">
        <f>SUM('Model inputs'!C166)</f>
        <v>3500</v>
      </c>
    </row>
    <row r="166" outlineLevel="1">
      <c r="A166" t="inlineStr" s="27">
        <is>
          <t xml:space="preserve">Inference cost per month &gt; Harbor Bay</t>
        </is>
      </c>
      <c r="C166" s="10">
        <f>'Scenario assumptions side by si'!D11</f>
        <v>3500</v>
      </c>
    </row>
    <row r="167">
      <c r="A167" t="inlineStr" s="26">
        <is>
          <t xml:space="preserve">Inference cost per month</t>
        </is>
      </c>
      <c r="C167" s="11">
        <f>SUM('Model inputs'!C168)</f>
        <v>3500</v>
      </c>
    </row>
    <row r="168" outlineLevel="1">
      <c r="A168" t="inlineStr" s="27">
        <is>
          <t xml:space="preserve">Inference cost per month &gt; Harbor Bay</t>
        </is>
      </c>
      <c r="C168" s="10">
        <f>'Scenario assumptions side by si'!C11</f>
        <v>3500</v>
      </c>
    </row>
    <row r="169">
      <c r="A169" t="inlineStr" s="26">
        <is>
          <t xml:space="preserve">Weighted catalog cost</t>
        </is>
      </c>
      <c r="B169" s="21">
        <f>'Model inputs'!B225*'Model inputs'!B207</f>
        <v>0</v>
      </c>
    </row>
    <row r="170" outlineLevel="1">
      <c r="A170" t="inlineStr" s="27">
        <is>
          <t xml:space="preserve">Weighted catalog cost &gt; boots</t>
        </is>
      </c>
      <c r="B170" s="23">
        <f>'Model inputs'!B226*'Model inputs'!B208</f>
        <v>65</v>
      </c>
    </row>
    <row r="171" outlineLevel="1">
      <c r="A171" t="inlineStr" s="27">
        <is>
          <t xml:space="preserve">Weighted catalog cost &gt; bottle</t>
        </is>
      </c>
      <c r="B171" s="23">
        <f>'Model inputs'!B227*'Model inputs'!B209</f>
        <v>15</v>
      </c>
    </row>
    <row r="172" outlineLevel="1">
      <c r="A172" t="inlineStr" s="27">
        <is>
          <t xml:space="preserve">Weighted catalog cost &gt; charger</t>
        </is>
      </c>
      <c r="B172" s="23">
        <f>'Model inputs'!B228*'Model inputs'!B210</f>
        <v>22</v>
      </c>
    </row>
    <row r="173" outlineLevel="1">
      <c r="A173" t="inlineStr" s="27">
        <is>
          <t xml:space="preserve">Weighted catalog cost &gt; lights</t>
        </is>
      </c>
      <c r="B173" s="23">
        <f>'Model inputs'!B229*'Model inputs'!B211</f>
        <v>7</v>
      </c>
    </row>
    <row r="174" outlineLevel="1">
      <c r="A174" t="inlineStr" s="27">
        <is>
          <t xml:space="preserve">Weighted catalog cost &gt; pack</t>
        </is>
      </c>
      <c r="B174" s="23">
        <f>'Model inputs'!B230*'Model inputs'!B212</f>
        <v>85</v>
      </c>
    </row>
    <row r="175" outlineLevel="1">
      <c r="A175" t="inlineStr" s="27">
        <is>
          <t xml:space="preserve">Weighted catalog cost &gt; poles</t>
        </is>
      </c>
      <c r="B175" s="23">
        <f>'Model inputs'!B231*'Model inputs'!B213</f>
        <v>45</v>
      </c>
    </row>
    <row r="176" outlineLevel="1">
      <c r="A176" t="inlineStr" s="27">
        <is>
          <t xml:space="preserve">Weighted catalog cost &gt; pouch</t>
        </is>
      </c>
      <c r="B176" s="23">
        <f>'Model inputs'!B232*'Model inputs'!B214</f>
        <v>10</v>
      </c>
    </row>
    <row r="177" outlineLevel="1">
      <c r="A177" t="inlineStr" s="27">
        <is>
          <t xml:space="preserve">Weighted catalog cost &gt; tent</t>
        </is>
      </c>
      <c r="B177" s="23">
        <f>'Model inputs'!B233*'Model inputs'!B215</f>
        <v>140</v>
      </c>
    </row>
    <row r="178">
      <c r="A178" t="inlineStr" s="26">
        <is>
          <t xml:space="preserve">Weighted catalog cost</t>
        </is>
      </c>
      <c r="B178" s="21">
        <f>'Model inputs'!B234*'Model inputs'!B216</f>
        <v>0</v>
      </c>
    </row>
    <row r="179" outlineLevel="1">
      <c r="A179" t="inlineStr" s="27">
        <is>
          <t xml:space="preserve">Weighted catalog cost &gt; boots</t>
        </is>
      </c>
      <c r="B179" s="23">
        <f>'Model inputs'!B235*'Model inputs'!B217</f>
        <v>65</v>
      </c>
    </row>
    <row r="180" outlineLevel="1">
      <c r="A180" t="inlineStr" s="27">
        <is>
          <t xml:space="preserve">Weighted catalog cost &gt; bottle</t>
        </is>
      </c>
      <c r="B180" s="23">
        <f>'Model inputs'!B236*'Model inputs'!B218</f>
        <v>15</v>
      </c>
    </row>
    <row r="181" outlineLevel="1">
      <c r="A181" t="inlineStr" s="27">
        <is>
          <t xml:space="preserve">Weighted catalog cost &gt; charger</t>
        </is>
      </c>
      <c r="B181" s="23">
        <f>'Model inputs'!B237*'Model inputs'!B219</f>
        <v>22</v>
      </c>
    </row>
    <row r="182" outlineLevel="1">
      <c r="A182" t="inlineStr" s="27">
        <is>
          <t xml:space="preserve">Weighted catalog cost &gt; lights</t>
        </is>
      </c>
      <c r="B182" s="23">
        <f>'Model inputs'!B238*'Model inputs'!B220</f>
        <v>7</v>
      </c>
    </row>
    <row r="183" outlineLevel="1">
      <c r="A183" t="inlineStr" s="27">
        <is>
          <t xml:space="preserve">Weighted catalog cost &gt; pack</t>
        </is>
      </c>
      <c r="B183" s="23">
        <f>'Model inputs'!B239*'Model inputs'!B221</f>
        <v>85</v>
      </c>
    </row>
    <row r="184" outlineLevel="1">
      <c r="A184" t="inlineStr" s="27">
        <is>
          <t xml:space="preserve">Weighted catalog cost &gt; poles</t>
        </is>
      </c>
      <c r="B184" s="23">
        <f>'Model inputs'!B240*'Model inputs'!B222</f>
        <v>45</v>
      </c>
    </row>
    <row r="185" outlineLevel="1">
      <c r="A185" t="inlineStr" s="27">
        <is>
          <t xml:space="preserve">Weighted catalog cost &gt; pouch</t>
        </is>
      </c>
      <c r="B185" s="23">
        <f>'Model inputs'!B241*'Model inputs'!B223</f>
        <v>10</v>
      </c>
    </row>
    <row r="186" outlineLevel="1">
      <c r="A186" t="inlineStr" s="27">
        <is>
          <t xml:space="preserve">Weighted catalog cost &gt; tent</t>
        </is>
      </c>
      <c r="B186" s="23">
        <f>'Model inputs'!B242*'Model inputs'!B224</f>
        <v>140</v>
      </c>
    </row>
    <row r="187">
      <c r="A187" t="inlineStr" s="26">
        <is>
          <t xml:space="preserve">Weighted catalog price</t>
        </is>
      </c>
      <c r="B187" s="21">
        <f>'Model inputs'!B243*'Model inputs'!B207</f>
        <v>0</v>
      </c>
    </row>
    <row r="188" outlineLevel="1">
      <c r="A188" t="inlineStr" s="27">
        <is>
          <t xml:space="preserve">Weighted catalog price &gt; boots</t>
        </is>
      </c>
      <c r="B188" s="23">
        <f>'Model inputs'!B244*'Model inputs'!B208</f>
        <v>120</v>
      </c>
    </row>
    <row r="189" outlineLevel="1">
      <c r="A189" t="inlineStr" s="27">
        <is>
          <t xml:space="preserve">Weighted catalog price &gt; bottle</t>
        </is>
      </c>
      <c r="B189" s="23">
        <f>'Model inputs'!B245*'Model inputs'!B209</f>
        <v>35</v>
      </c>
    </row>
    <row r="190" outlineLevel="1">
      <c r="A190" t="inlineStr" s="27">
        <is>
          <t xml:space="preserve">Weighted catalog price &gt; charger</t>
        </is>
      </c>
      <c r="B190" s="23">
        <f>'Model inputs'!B246*'Model inputs'!B210</f>
        <v>45</v>
      </c>
    </row>
    <row r="191" outlineLevel="1">
      <c r="A191" t="inlineStr" s="27">
        <is>
          <t xml:space="preserve">Weighted catalog price &gt; lights</t>
        </is>
      </c>
      <c r="B191" s="23">
        <f>'Model inputs'!B247*'Model inputs'!B211</f>
        <v>18</v>
      </c>
    </row>
    <row r="192" outlineLevel="1">
      <c r="A192" t="inlineStr" s="27">
        <is>
          <t xml:space="preserve">Weighted catalog price &gt; pack</t>
        </is>
      </c>
      <c r="B192" s="23">
        <f>'Model inputs'!B248*'Model inputs'!B212</f>
        <v>160</v>
      </c>
    </row>
    <row r="193" outlineLevel="1">
      <c r="A193" t="inlineStr" s="27">
        <is>
          <t xml:space="preserve">Weighted catalog price &gt; poles</t>
        </is>
      </c>
      <c r="B193" s="23">
        <f>'Model inputs'!B249*'Model inputs'!B213</f>
        <v>90</v>
      </c>
    </row>
    <row r="194" outlineLevel="1">
      <c r="A194" t="inlineStr" s="27">
        <is>
          <t xml:space="preserve">Weighted catalog price &gt; pouch</t>
        </is>
      </c>
      <c r="B194" s="23">
        <f>'Model inputs'!B250*'Model inputs'!B214</f>
        <v>25</v>
      </c>
    </row>
    <row r="195" outlineLevel="1">
      <c r="A195" t="inlineStr" s="27">
        <is>
          <t xml:space="preserve">Weighted catalog price &gt; tent</t>
        </is>
      </c>
      <c r="B195" s="23">
        <f>'Model inputs'!B251*'Model inputs'!B215</f>
        <v>280</v>
      </c>
    </row>
    <row r="196">
      <c r="A196" t="inlineStr" s="26">
        <is>
          <t xml:space="preserve">Weighted catalog price</t>
        </is>
      </c>
      <c r="B196" s="21">
        <f>'Model inputs'!B252*'Model inputs'!B216</f>
        <v>0</v>
      </c>
    </row>
    <row r="197" outlineLevel="1">
      <c r="A197" t="inlineStr" s="27">
        <is>
          <t xml:space="preserve">Weighted catalog price &gt; boots</t>
        </is>
      </c>
      <c r="B197" s="23">
        <f>'Model inputs'!B253*'Model inputs'!B217</f>
        <v>120</v>
      </c>
    </row>
    <row r="198" outlineLevel="1">
      <c r="A198" t="inlineStr" s="27">
        <is>
          <t xml:space="preserve">Weighted catalog price &gt; bottle</t>
        </is>
      </c>
      <c r="B198" s="23">
        <f>'Model inputs'!B254*'Model inputs'!B218</f>
        <v>35</v>
      </c>
    </row>
    <row r="199" outlineLevel="1">
      <c r="A199" t="inlineStr" s="27">
        <is>
          <t xml:space="preserve">Weighted catalog price &gt; charger</t>
        </is>
      </c>
      <c r="B199" s="23">
        <f>'Model inputs'!B255*'Model inputs'!B219</f>
        <v>45</v>
      </c>
    </row>
    <row r="200" outlineLevel="1">
      <c r="A200" t="inlineStr" s="27">
        <is>
          <t xml:space="preserve">Weighted catalog price &gt; lights</t>
        </is>
      </c>
      <c r="B200" s="23">
        <f>'Model inputs'!B256*'Model inputs'!B220</f>
        <v>18</v>
      </c>
    </row>
    <row r="201" outlineLevel="1">
      <c r="A201" t="inlineStr" s="27">
        <is>
          <t xml:space="preserve">Weighted catalog price &gt; pack</t>
        </is>
      </c>
      <c r="B201" s="23">
        <f>'Model inputs'!B257*'Model inputs'!B221</f>
        <v>160</v>
      </c>
    </row>
    <row r="202" outlineLevel="1">
      <c r="A202" t="inlineStr" s="27">
        <is>
          <t xml:space="preserve">Weighted catalog price &gt; poles</t>
        </is>
      </c>
      <c r="B202" s="23">
        <f>'Model inputs'!B258*'Model inputs'!B222</f>
        <v>90</v>
      </c>
    </row>
    <row r="203" outlineLevel="1">
      <c r="A203" t="inlineStr" s="27">
        <is>
          <t xml:space="preserve">Weighted catalog price &gt; pouch</t>
        </is>
      </c>
      <c r="B203" s="23">
        <f>'Model inputs'!B259*'Model inputs'!B223</f>
        <v>25</v>
      </c>
    </row>
    <row r="204" outlineLevel="1">
      <c r="A204" t="inlineStr" s="27">
        <is>
          <t xml:space="preserve">Weighted catalog price &gt; tent</t>
        </is>
      </c>
      <c r="B204" s="23">
        <f>'Model inputs'!B260*'Model inputs'!B224</f>
        <v>280</v>
      </c>
    </row>
    <row r="205">
      <c r="A205" t="inlineStr" s="26">
        <is>
          <t xml:space="preserve">Assumed basket cost total · Product cost per order (provisional) · Harbor Bay monthly P&amp;L and cash · Base</t>
        </is>
      </c>
      <c r="C205" s="23">
        <f>SUM('Model inputs'!B80,'Model inputs'!B81,'Model inputs'!B82,'Model inputs'!B83,'Model inputs'!B84,'Model inputs'!B85,'Model inputs'!B86,'Model inputs'!B87)</f>
        <v>389</v>
      </c>
    </row>
    <row r="206">
      <c r="A206" t="inlineStr" s="26">
        <is>
          <t xml:space="preserve">Assumed basket price total · Product cost per order (provisional) · Harbor Bay monthly P&amp;L and cash · Base</t>
        </is>
      </c>
      <c r="C206" s="23">
        <f>SUM('Model inputs'!B89,'Model inputs'!B90,'Model inputs'!B91,'Model inputs'!B92,'Model inputs'!B93,'Model inputs'!B94,'Model inputs'!B95,'Model inputs'!B96)</f>
        <v>773</v>
      </c>
    </row>
    <row r="207">
      <c r="A207" t="inlineStr" s="26">
        <is>
          <t xml:space="preserve">Assumed unit mix weight (provisional)</t>
        </is>
      </c>
      <c r="B207" s="21">
        <v>0</v>
      </c>
    </row>
    <row r="208" outlineLevel="1">
      <c r="A208" t="inlineStr" s="27">
        <is>
          <t xml:space="preserve">Assumed unit mix weight (provisional) &gt; boots</t>
        </is>
      </c>
      <c r="B208" s="23">
        <f>'Seed product catalog — provisio'!F5</f>
        <v>1</v>
      </c>
    </row>
    <row r="209" outlineLevel="1">
      <c r="A209" t="inlineStr" s="27">
        <is>
          <t xml:space="preserve">Assumed unit mix weight (provisional) &gt; bottle</t>
        </is>
      </c>
      <c r="B209" s="23">
        <f>'Seed product catalog — provisio'!F6</f>
        <v>1</v>
      </c>
    </row>
    <row r="210" outlineLevel="1">
      <c r="A210" t="inlineStr" s="27">
        <is>
          <t xml:space="preserve">Assumed unit mix weight (provisional) &gt; charger</t>
        </is>
      </c>
      <c r="B210" s="23">
        <f>'Seed product catalog — provisio'!F7</f>
        <v>1</v>
      </c>
    </row>
    <row r="211" outlineLevel="1">
      <c r="A211" t="inlineStr" s="27">
        <is>
          <t xml:space="preserve">Assumed unit mix weight (provisional) &gt; lights</t>
        </is>
      </c>
      <c r="B211" s="23">
        <f>'Seed product catalog — provisio'!F8</f>
        <v>1</v>
      </c>
    </row>
    <row r="212" outlineLevel="1">
      <c r="A212" t="inlineStr" s="27">
        <is>
          <t xml:space="preserve">Assumed unit mix weight (provisional) &gt; pack</t>
        </is>
      </c>
      <c r="B212" s="23">
        <f>'Seed product catalog — provisio'!F9</f>
        <v>1</v>
      </c>
    </row>
    <row r="213" outlineLevel="1">
      <c r="A213" t="inlineStr" s="27">
        <is>
          <t xml:space="preserve">Assumed unit mix weight (provisional) &gt; poles</t>
        </is>
      </c>
      <c r="B213" s="23">
        <f>'Seed product catalog — provisio'!F10</f>
        <v>1</v>
      </c>
    </row>
    <row r="214" outlineLevel="1">
      <c r="A214" t="inlineStr" s="27">
        <is>
          <t xml:space="preserve">Assumed unit mix weight (provisional) &gt; pouch</t>
        </is>
      </c>
      <c r="B214" s="23">
        <f>'Seed product catalog — provisio'!F11</f>
        <v>1</v>
      </c>
    </row>
    <row r="215" outlineLevel="1">
      <c r="A215" t="inlineStr" s="27">
        <is>
          <t xml:space="preserve">Assumed unit mix weight (provisional) &gt; tent</t>
        </is>
      </c>
      <c r="B215" s="23">
        <f>'Seed product catalog — provisio'!F12</f>
        <v>1</v>
      </c>
    </row>
    <row r="216">
      <c r="A216" t="inlineStr" s="26">
        <is>
          <t xml:space="preserve">Assumed unit mix weight (provisional)</t>
        </is>
      </c>
      <c r="B216" s="21">
        <v>0</v>
      </c>
    </row>
    <row r="217" outlineLevel="1">
      <c r="A217" t="inlineStr" s="27">
        <is>
          <t xml:space="preserve">Assumed unit mix weight (provisional) &gt; boots</t>
        </is>
      </c>
      <c r="B217" s="23">
        <f>'Seed product catalog — provisio'!F5</f>
        <v>1</v>
      </c>
    </row>
    <row r="218" outlineLevel="1">
      <c r="A218" t="inlineStr" s="27">
        <is>
          <t xml:space="preserve">Assumed unit mix weight (provisional) &gt; bottle</t>
        </is>
      </c>
      <c r="B218" s="23">
        <f>'Seed product catalog — provisio'!F6</f>
        <v>1</v>
      </c>
    </row>
    <row r="219" outlineLevel="1">
      <c r="A219" t="inlineStr" s="27">
        <is>
          <t xml:space="preserve">Assumed unit mix weight (provisional) &gt; charger</t>
        </is>
      </c>
      <c r="B219" s="23">
        <f>'Seed product catalog — provisio'!F7</f>
        <v>1</v>
      </c>
    </row>
    <row r="220" outlineLevel="1">
      <c r="A220" t="inlineStr" s="27">
        <is>
          <t xml:space="preserve">Assumed unit mix weight (provisional) &gt; lights</t>
        </is>
      </c>
      <c r="B220" s="23">
        <f>'Seed product catalog — provisio'!F8</f>
        <v>1</v>
      </c>
    </row>
    <row r="221" outlineLevel="1">
      <c r="A221" t="inlineStr" s="27">
        <is>
          <t xml:space="preserve">Assumed unit mix weight (provisional) &gt; pack</t>
        </is>
      </c>
      <c r="B221" s="23">
        <f>'Seed product catalog — provisio'!F9</f>
        <v>1</v>
      </c>
    </row>
    <row r="222" outlineLevel="1">
      <c r="A222" t="inlineStr" s="27">
        <is>
          <t xml:space="preserve">Assumed unit mix weight (provisional) &gt; poles</t>
        </is>
      </c>
      <c r="B222" s="23">
        <f>'Seed product catalog — provisio'!F10</f>
        <v>1</v>
      </c>
    </row>
    <row r="223" outlineLevel="1">
      <c r="A223" t="inlineStr" s="27">
        <is>
          <t xml:space="preserve">Assumed unit mix weight (provisional) &gt; pouch</t>
        </is>
      </c>
      <c r="B223" s="23">
        <f>'Seed product catalog — provisio'!F11</f>
        <v>1</v>
      </c>
    </row>
    <row r="224" outlineLevel="1">
      <c r="A224" t="inlineStr" s="27">
        <is>
          <t xml:space="preserve">Assumed unit mix weight (provisional) &gt; tent</t>
        </is>
      </c>
      <c r="B224" s="23">
        <f>'Seed product catalog — provisio'!F12</f>
        <v>1</v>
      </c>
    </row>
    <row r="225">
      <c r="A225" t="inlineStr" s="26">
        <is>
          <t xml:space="preserve">Catalog cost</t>
        </is>
      </c>
      <c r="B225" s="22">
        <v>0</v>
      </c>
    </row>
    <row r="226" outlineLevel="1">
      <c r="A226" t="inlineStr" s="27">
        <is>
          <t xml:space="preserve">Catalog cost &gt; boots</t>
        </is>
      </c>
      <c r="B226" s="9">
        <f>'Seed product catalog — provisio'!D5</f>
        <v>65</v>
      </c>
    </row>
    <row r="227" outlineLevel="1">
      <c r="A227" t="inlineStr" s="27">
        <is>
          <t xml:space="preserve">Catalog cost &gt; bottle</t>
        </is>
      </c>
      <c r="B227" s="9">
        <f>'Seed product catalog — provisio'!D6</f>
        <v>15</v>
      </c>
    </row>
    <row r="228" outlineLevel="1">
      <c r="A228" t="inlineStr" s="27">
        <is>
          <t xml:space="preserve">Catalog cost &gt; charger</t>
        </is>
      </c>
      <c r="B228" s="9">
        <f>'Seed product catalog — provisio'!D7</f>
        <v>22</v>
      </c>
    </row>
    <row r="229" outlineLevel="1">
      <c r="A229" t="inlineStr" s="27">
        <is>
          <t xml:space="preserve">Catalog cost &gt; lights</t>
        </is>
      </c>
      <c r="B229" s="9">
        <f>'Seed product catalog — provisio'!D8</f>
        <v>7</v>
      </c>
    </row>
    <row r="230" outlineLevel="1">
      <c r="A230" t="inlineStr" s="27">
        <is>
          <t xml:space="preserve">Catalog cost &gt; pack</t>
        </is>
      </c>
      <c r="B230" s="9">
        <f>'Seed product catalog — provisio'!D9</f>
        <v>85</v>
      </c>
    </row>
    <row r="231" outlineLevel="1">
      <c r="A231" t="inlineStr" s="27">
        <is>
          <t xml:space="preserve">Catalog cost &gt; poles</t>
        </is>
      </c>
      <c r="B231" s="9">
        <f>'Seed product catalog — provisio'!D10</f>
        <v>45</v>
      </c>
    </row>
    <row r="232" outlineLevel="1">
      <c r="A232" t="inlineStr" s="27">
        <is>
          <t xml:space="preserve">Catalog cost &gt; pouch</t>
        </is>
      </c>
      <c r="B232" s="9">
        <f>'Seed product catalog — provisio'!D11</f>
        <v>10</v>
      </c>
    </row>
    <row r="233" outlineLevel="1">
      <c r="A233" t="inlineStr" s="27">
        <is>
          <t xml:space="preserve">Catalog cost &gt; tent</t>
        </is>
      </c>
      <c r="B233" s="9">
        <f>'Seed product catalog — provisio'!D12</f>
        <v>140</v>
      </c>
    </row>
    <row r="234">
      <c r="A234" t="inlineStr" s="26">
        <is>
          <t xml:space="preserve">Catalog cost</t>
        </is>
      </c>
      <c r="B234" s="22">
        <v>0</v>
      </c>
    </row>
    <row r="235" outlineLevel="1">
      <c r="A235" t="inlineStr" s="27">
        <is>
          <t xml:space="preserve">Catalog cost &gt; boots</t>
        </is>
      </c>
      <c r="B235" s="9">
        <f>'Seed product catalog — provisio'!D5</f>
        <v>65</v>
      </c>
    </row>
    <row r="236" outlineLevel="1">
      <c r="A236" t="inlineStr" s="27">
        <is>
          <t xml:space="preserve">Catalog cost &gt; bottle</t>
        </is>
      </c>
      <c r="B236" s="9">
        <f>'Seed product catalog — provisio'!D6</f>
        <v>15</v>
      </c>
    </row>
    <row r="237" outlineLevel="1">
      <c r="A237" t="inlineStr" s="27">
        <is>
          <t xml:space="preserve">Catalog cost &gt; charger</t>
        </is>
      </c>
      <c r="B237" s="9">
        <f>'Seed product catalog — provisio'!D7</f>
        <v>22</v>
      </c>
    </row>
    <row r="238" outlineLevel="1">
      <c r="A238" t="inlineStr" s="27">
        <is>
          <t xml:space="preserve">Catalog cost &gt; lights</t>
        </is>
      </c>
      <c r="B238" s="9">
        <f>'Seed product catalog — provisio'!D8</f>
        <v>7</v>
      </c>
    </row>
    <row r="239" outlineLevel="1">
      <c r="A239" t="inlineStr" s="27">
        <is>
          <t xml:space="preserve">Catalog cost &gt; pack</t>
        </is>
      </c>
      <c r="B239" s="9">
        <f>'Seed product catalog — provisio'!D9</f>
        <v>85</v>
      </c>
    </row>
    <row r="240" outlineLevel="1">
      <c r="A240" t="inlineStr" s="27">
        <is>
          <t xml:space="preserve">Catalog cost &gt; poles</t>
        </is>
      </c>
      <c r="B240" s="9">
        <f>'Seed product catalog — provisio'!D10</f>
        <v>45</v>
      </c>
    </row>
    <row r="241" outlineLevel="1">
      <c r="A241" t="inlineStr" s="27">
        <is>
          <t xml:space="preserve">Catalog cost &gt; pouch</t>
        </is>
      </c>
      <c r="B241" s="9">
        <f>'Seed product catalog — provisio'!D11</f>
        <v>10</v>
      </c>
    </row>
    <row r="242" outlineLevel="1">
      <c r="A242" t="inlineStr" s="27">
        <is>
          <t xml:space="preserve">Catalog cost &gt; tent</t>
        </is>
      </c>
      <c r="B242" s="9">
        <f>'Seed product catalog — provisio'!D12</f>
        <v>140</v>
      </c>
    </row>
    <row r="243">
      <c r="A243" t="inlineStr" s="26">
        <is>
          <t xml:space="preserve">Catalog price</t>
        </is>
      </c>
      <c r="B243" s="22">
        <v>0</v>
      </c>
    </row>
    <row r="244" outlineLevel="1">
      <c r="A244" t="inlineStr" s="27">
        <is>
          <t xml:space="preserve">Catalog price &gt; boots</t>
        </is>
      </c>
      <c r="B244" s="9">
        <f>'Seed product catalog — provisio'!C5</f>
        <v>120</v>
      </c>
    </row>
    <row r="245" outlineLevel="1">
      <c r="A245" t="inlineStr" s="27">
        <is>
          <t xml:space="preserve">Catalog price &gt; bottle</t>
        </is>
      </c>
      <c r="B245" s="9">
        <f>'Seed product catalog — provisio'!C6</f>
        <v>35</v>
      </c>
    </row>
    <row r="246" outlineLevel="1">
      <c r="A246" t="inlineStr" s="27">
        <is>
          <t xml:space="preserve">Catalog price &gt; charger</t>
        </is>
      </c>
      <c r="B246" s="9">
        <f>'Seed product catalog — provisio'!C7</f>
        <v>45</v>
      </c>
    </row>
    <row r="247" outlineLevel="1">
      <c r="A247" t="inlineStr" s="27">
        <is>
          <t xml:space="preserve">Catalog price &gt; lights</t>
        </is>
      </c>
      <c r="B247" s="9">
        <f>'Seed product catalog — provisio'!C8</f>
        <v>18</v>
      </c>
    </row>
    <row r="248" outlineLevel="1">
      <c r="A248" t="inlineStr" s="27">
        <is>
          <t xml:space="preserve">Catalog price &gt; pack</t>
        </is>
      </c>
      <c r="B248" s="9">
        <f>'Seed product catalog — provisio'!C9</f>
        <v>160</v>
      </c>
    </row>
    <row r="249" outlineLevel="1">
      <c r="A249" t="inlineStr" s="27">
        <is>
          <t xml:space="preserve">Catalog price &gt; poles</t>
        </is>
      </c>
      <c r="B249" s="9">
        <f>'Seed product catalog — provisio'!C10</f>
        <v>90</v>
      </c>
    </row>
    <row r="250" outlineLevel="1">
      <c r="A250" t="inlineStr" s="27">
        <is>
          <t xml:space="preserve">Catalog price &gt; pouch</t>
        </is>
      </c>
      <c r="B250" s="9">
        <f>'Seed product catalog — provisio'!C11</f>
        <v>25</v>
      </c>
    </row>
    <row r="251" outlineLevel="1">
      <c r="A251" t="inlineStr" s="27">
        <is>
          <t xml:space="preserve">Catalog price &gt; tent</t>
        </is>
      </c>
      <c r="B251" s="9">
        <f>'Seed product catalog — provisio'!C12</f>
        <v>280</v>
      </c>
    </row>
    <row r="252">
      <c r="A252" t="inlineStr" s="26">
        <is>
          <t xml:space="preserve">Catalog price</t>
        </is>
      </c>
      <c r="B252" s="22">
        <v>0</v>
      </c>
    </row>
    <row r="253" outlineLevel="1">
      <c r="A253" t="inlineStr" s="27">
        <is>
          <t xml:space="preserve">Catalog price &gt; boots</t>
        </is>
      </c>
      <c r="B253" s="9">
        <f>'Seed product catalog — provisio'!C5</f>
        <v>120</v>
      </c>
    </row>
    <row r="254" outlineLevel="1">
      <c r="A254" t="inlineStr" s="27">
        <is>
          <t xml:space="preserve">Catalog price &gt; bottle</t>
        </is>
      </c>
      <c r="B254" s="9">
        <f>'Seed product catalog — provisio'!C6</f>
        <v>35</v>
      </c>
    </row>
    <row r="255" outlineLevel="1">
      <c r="A255" t="inlineStr" s="27">
        <is>
          <t xml:space="preserve">Catalog price &gt; charger</t>
        </is>
      </c>
      <c r="B255" s="9">
        <f>'Seed product catalog — provisio'!C7</f>
        <v>45</v>
      </c>
    </row>
    <row r="256" outlineLevel="1">
      <c r="A256" t="inlineStr" s="27">
        <is>
          <t xml:space="preserve">Catalog price &gt; lights</t>
        </is>
      </c>
      <c r="B256" s="9">
        <f>'Seed product catalog — provisio'!C8</f>
        <v>18</v>
      </c>
    </row>
    <row r="257" outlineLevel="1">
      <c r="A257" t="inlineStr" s="27">
        <is>
          <t xml:space="preserve">Catalog price &gt; pack</t>
        </is>
      </c>
      <c r="B257" s="9">
        <f>'Seed product catalog — provisio'!C9</f>
        <v>160</v>
      </c>
    </row>
    <row r="258" outlineLevel="1">
      <c r="A258" t="inlineStr" s="27">
        <is>
          <t xml:space="preserve">Catalog price &gt; poles</t>
        </is>
      </c>
      <c r="B258" s="9">
        <f>'Seed product catalog — provisio'!C10</f>
        <v>90</v>
      </c>
    </row>
    <row r="259" outlineLevel="1">
      <c r="A259" t="inlineStr" s="27">
        <is>
          <t xml:space="preserve">Catalog price &gt; pouch</t>
        </is>
      </c>
      <c r="B259" s="9">
        <f>'Seed product catalog — provisio'!C11</f>
        <v>25</v>
      </c>
    </row>
    <row r="260" outlineLevel="1">
      <c r="A260" t="inlineStr" s="27">
        <is>
          <t xml:space="preserve">Catalog price &gt; tent</t>
        </is>
      </c>
      <c r="B260" s="9">
        <f>'Seed product catalog — provisio'!C12</f>
        <v>280</v>
      </c>
    </row>
    <row r="261">
      <c r="A261" t="inlineStr" s="26">
        <is>
          <t xml:space="preserve">Weighted catalog cost</t>
        </is>
      </c>
      <c r="C261" s="21">
        <f>'Model inputs'!B106*'Model inputs'!B97</f>
        <v>0</v>
      </c>
    </row>
    <row r="262" outlineLevel="1">
      <c r="A262" t="inlineStr" s="27">
        <is>
          <t xml:space="preserve">Weighted catalog cost &gt; boots</t>
        </is>
      </c>
      <c r="C262" s="23">
        <f>'Model inputs'!B107*'Model inputs'!B98</f>
        <v>65</v>
      </c>
    </row>
    <row r="263" outlineLevel="1">
      <c r="A263" t="inlineStr" s="27">
        <is>
          <t xml:space="preserve">Weighted catalog cost &gt; bottle</t>
        </is>
      </c>
      <c r="C263" s="23">
        <f>'Model inputs'!B108*'Model inputs'!B99</f>
        <v>15</v>
      </c>
    </row>
    <row r="264" outlineLevel="1">
      <c r="A264" t="inlineStr" s="27">
        <is>
          <t xml:space="preserve">Weighted catalog cost &gt; charger</t>
        </is>
      </c>
      <c r="C264" s="23">
        <f>'Model inputs'!B109*'Model inputs'!B100</f>
        <v>22</v>
      </c>
    </row>
    <row r="265" outlineLevel="1">
      <c r="A265" t="inlineStr" s="27">
        <is>
          <t xml:space="preserve">Weighted catalog cost &gt; lights</t>
        </is>
      </c>
      <c r="C265" s="23">
        <f>'Model inputs'!B110*'Model inputs'!B101</f>
        <v>7</v>
      </c>
    </row>
    <row r="266" outlineLevel="1">
      <c r="A266" t="inlineStr" s="27">
        <is>
          <t xml:space="preserve">Weighted catalog cost &gt; pack</t>
        </is>
      </c>
      <c r="C266" s="23">
        <f>'Model inputs'!B111*'Model inputs'!B102</f>
        <v>85</v>
      </c>
    </row>
    <row r="267" outlineLevel="1">
      <c r="A267" t="inlineStr" s="27">
        <is>
          <t xml:space="preserve">Weighted catalog cost &gt; poles</t>
        </is>
      </c>
      <c r="C267" s="23">
        <f>'Model inputs'!B112*'Model inputs'!B103</f>
        <v>45</v>
      </c>
    </row>
    <row r="268" outlineLevel="1">
      <c r="A268" t="inlineStr" s="27">
        <is>
          <t xml:space="preserve">Weighted catalog cost &gt; pouch</t>
        </is>
      </c>
      <c r="C268" s="23">
        <f>'Model inputs'!B113*'Model inputs'!B104</f>
        <v>10</v>
      </c>
    </row>
    <row r="269" outlineLevel="1">
      <c r="A269" t="inlineStr" s="27">
        <is>
          <t xml:space="preserve">Weighted catalog cost &gt; tent</t>
        </is>
      </c>
      <c r="C269" s="23">
        <f>'Model inputs'!B114*'Model inputs'!B105</f>
        <v>140</v>
      </c>
    </row>
    <row r="270">
      <c r="A270" t="inlineStr" s="26">
        <is>
          <t xml:space="preserve">Weighted catalog price</t>
        </is>
      </c>
      <c r="C270" s="21">
        <f>'Model inputs'!B115*'Model inputs'!B97</f>
        <v>0</v>
      </c>
    </row>
    <row r="271" outlineLevel="1">
      <c r="A271" t="inlineStr" s="27">
        <is>
          <t xml:space="preserve">Weighted catalog price &gt; boots</t>
        </is>
      </c>
      <c r="C271" s="23">
        <f>'Model inputs'!B116*'Model inputs'!B98</f>
        <v>120</v>
      </c>
    </row>
    <row r="272" outlineLevel="1">
      <c r="A272" t="inlineStr" s="27">
        <is>
          <t xml:space="preserve">Weighted catalog price &gt; bottle</t>
        </is>
      </c>
      <c r="C272" s="23">
        <f>'Model inputs'!B117*'Model inputs'!B99</f>
        <v>35</v>
      </c>
    </row>
    <row r="273" outlineLevel="1">
      <c r="A273" t="inlineStr" s="27">
        <is>
          <t xml:space="preserve">Weighted catalog price &gt; charger</t>
        </is>
      </c>
      <c r="C273" s="23">
        <f>'Model inputs'!B118*'Model inputs'!B100</f>
        <v>45</v>
      </c>
    </row>
    <row r="274" outlineLevel="1">
      <c r="A274" t="inlineStr" s="27">
        <is>
          <t xml:space="preserve">Weighted catalog price &gt; lights</t>
        </is>
      </c>
      <c r="C274" s="23">
        <f>'Model inputs'!B119*'Model inputs'!B101</f>
        <v>18</v>
      </c>
    </row>
    <row r="275" outlineLevel="1">
      <c r="A275" t="inlineStr" s="27">
        <is>
          <t xml:space="preserve">Weighted catalog price &gt; pack</t>
        </is>
      </c>
      <c r="C275" s="23">
        <f>'Model inputs'!B120*'Model inputs'!B102</f>
        <v>160</v>
      </c>
    </row>
    <row r="276" outlineLevel="1">
      <c r="A276" t="inlineStr" s="27">
        <is>
          <t xml:space="preserve">Weighted catalog price &gt; poles</t>
        </is>
      </c>
      <c r="C276" s="23">
        <f>'Model inputs'!B121*'Model inputs'!B103</f>
        <v>90</v>
      </c>
    </row>
    <row r="277" outlineLevel="1">
      <c r="A277" t="inlineStr" s="27">
        <is>
          <t xml:space="preserve">Weighted catalog price &gt; pouch</t>
        </is>
      </c>
      <c r="C277" s="23">
        <f>'Model inputs'!B122*'Model inputs'!B104</f>
        <v>25</v>
      </c>
    </row>
    <row r="278" outlineLevel="1">
      <c r="A278" t="inlineStr" s="27">
        <is>
          <t xml:space="preserve">Weighted catalog price &gt; tent</t>
        </is>
      </c>
      <c r="C278" s="23">
        <f>'Model inputs'!B123*'Model inputs'!B105</f>
        <v>280</v>
      </c>
    </row>
    <row r="279">
      <c r="A279" t="inlineStr" s="26">
        <is>
          <t xml:space="preserve">Assumed unit mix weight (provisional)</t>
        </is>
      </c>
      <c r="C279" s="21">
        <v>0</v>
      </c>
    </row>
    <row r="280" outlineLevel="1">
      <c r="A280" t="inlineStr" s="27">
        <is>
          <t xml:space="preserve">Assumed unit mix weight (provisional) &gt; boots</t>
        </is>
      </c>
      <c r="C280" s="23">
        <f>'Seed product catalog — provisio'!F5</f>
        <v>1</v>
      </c>
    </row>
    <row r="281" outlineLevel="1">
      <c r="A281" t="inlineStr" s="27">
        <is>
          <t xml:space="preserve">Assumed unit mix weight (provisional) &gt; bottle</t>
        </is>
      </c>
      <c r="C281" s="23">
        <f>'Seed product catalog — provisio'!F6</f>
        <v>1</v>
      </c>
    </row>
    <row r="282" outlineLevel="1">
      <c r="A282" t="inlineStr" s="27">
        <is>
          <t xml:space="preserve">Assumed unit mix weight (provisional) &gt; charger</t>
        </is>
      </c>
      <c r="C282" s="23">
        <f>'Seed product catalog — provisio'!F7</f>
        <v>1</v>
      </c>
    </row>
    <row r="283" outlineLevel="1">
      <c r="A283" t="inlineStr" s="27">
        <is>
          <t xml:space="preserve">Assumed unit mix weight (provisional) &gt; lights</t>
        </is>
      </c>
      <c r="C283" s="23">
        <f>'Seed product catalog — provisio'!F8</f>
        <v>1</v>
      </c>
    </row>
    <row r="284" outlineLevel="1">
      <c r="A284" t="inlineStr" s="27">
        <is>
          <t xml:space="preserve">Assumed unit mix weight (provisional) &gt; pack</t>
        </is>
      </c>
      <c r="C284" s="23">
        <f>'Seed product catalog — provisio'!F9</f>
        <v>1</v>
      </c>
    </row>
    <row r="285" outlineLevel="1">
      <c r="A285" t="inlineStr" s="27">
        <is>
          <t xml:space="preserve">Assumed unit mix weight (provisional) &gt; poles</t>
        </is>
      </c>
      <c r="C285" s="23">
        <f>'Seed product catalog — provisio'!F10</f>
        <v>1</v>
      </c>
    </row>
    <row r="286" outlineLevel="1">
      <c r="A286" t="inlineStr" s="27">
        <is>
          <t xml:space="preserve">Assumed unit mix weight (provisional) &gt; pouch</t>
        </is>
      </c>
      <c r="C286" s="23">
        <f>'Seed product catalog — provisio'!F11</f>
        <v>1</v>
      </c>
    </row>
    <row r="287" outlineLevel="1">
      <c r="A287" t="inlineStr" s="27">
        <is>
          <t xml:space="preserve">Assumed unit mix weight (provisional) &gt; tent</t>
        </is>
      </c>
      <c r="C287" s="23">
        <f>'Seed product catalog — provisio'!F12</f>
        <v>1</v>
      </c>
    </row>
    <row r="288">
      <c r="A288" t="inlineStr" s="26">
        <is>
          <t xml:space="preserve">Catalog cost</t>
        </is>
      </c>
      <c r="C288" s="22">
        <v>0</v>
      </c>
    </row>
    <row r="289" outlineLevel="1">
      <c r="A289" t="inlineStr" s="27">
        <is>
          <t xml:space="preserve">Catalog cost &gt; boots</t>
        </is>
      </c>
      <c r="C289" s="9">
        <f>'Seed product catalog — provisio'!D5</f>
        <v>65</v>
      </c>
    </row>
    <row r="290" outlineLevel="1">
      <c r="A290" t="inlineStr" s="27">
        <is>
          <t xml:space="preserve">Catalog cost &gt; bottle</t>
        </is>
      </c>
      <c r="C290" s="9">
        <f>'Seed product catalog — provisio'!D6</f>
        <v>15</v>
      </c>
    </row>
    <row r="291" outlineLevel="1">
      <c r="A291" t="inlineStr" s="27">
        <is>
          <t xml:space="preserve">Catalog cost &gt; charger</t>
        </is>
      </c>
      <c r="C291" s="9">
        <f>'Seed product catalog — provisio'!D7</f>
        <v>22</v>
      </c>
    </row>
    <row r="292" outlineLevel="1">
      <c r="A292" t="inlineStr" s="27">
        <is>
          <t xml:space="preserve">Catalog cost &gt; lights</t>
        </is>
      </c>
      <c r="C292" s="9">
        <f>'Seed product catalog — provisio'!D8</f>
        <v>7</v>
      </c>
    </row>
    <row r="293" outlineLevel="1">
      <c r="A293" t="inlineStr" s="27">
        <is>
          <t xml:space="preserve">Catalog cost &gt; pack</t>
        </is>
      </c>
      <c r="C293" s="9">
        <f>'Seed product catalog — provisio'!D9</f>
        <v>85</v>
      </c>
    </row>
    <row r="294" outlineLevel="1">
      <c r="A294" t="inlineStr" s="27">
        <is>
          <t xml:space="preserve">Catalog cost &gt; poles</t>
        </is>
      </c>
      <c r="C294" s="9">
        <f>'Seed product catalog — provisio'!D10</f>
        <v>45</v>
      </c>
    </row>
    <row r="295" outlineLevel="1">
      <c r="A295" t="inlineStr" s="27">
        <is>
          <t xml:space="preserve">Catalog cost &gt; pouch</t>
        </is>
      </c>
      <c r="C295" s="9">
        <f>'Seed product catalog — provisio'!D11</f>
        <v>10</v>
      </c>
    </row>
    <row r="296" outlineLevel="1">
      <c r="A296" t="inlineStr" s="27">
        <is>
          <t xml:space="preserve">Catalog cost &gt; tent</t>
        </is>
      </c>
      <c r="C296" s="9">
        <f>'Seed product catalog — provisio'!D12</f>
        <v>140</v>
      </c>
    </row>
    <row r="297">
      <c r="A297" t="inlineStr" s="26">
        <is>
          <t xml:space="preserve">Catalog price</t>
        </is>
      </c>
      <c r="C297" s="22">
        <v>0</v>
      </c>
    </row>
    <row r="298" outlineLevel="1">
      <c r="A298" t="inlineStr" s="27">
        <is>
          <t xml:space="preserve">Catalog price &gt; boots</t>
        </is>
      </c>
      <c r="C298" s="9">
        <f>'Seed product catalog — provisio'!C5</f>
        <v>120</v>
      </c>
    </row>
    <row r="299" outlineLevel="1">
      <c r="A299" t="inlineStr" s="27">
        <is>
          <t xml:space="preserve">Catalog price &gt; bottle</t>
        </is>
      </c>
      <c r="C299" s="9">
        <f>'Seed product catalog — provisio'!C6</f>
        <v>35</v>
      </c>
    </row>
    <row r="300" outlineLevel="1">
      <c r="A300" t="inlineStr" s="27">
        <is>
          <t xml:space="preserve">Catalog price &gt; charger</t>
        </is>
      </c>
      <c r="C300" s="9">
        <f>'Seed product catalog — provisio'!C7</f>
        <v>45</v>
      </c>
    </row>
    <row r="301" outlineLevel="1">
      <c r="A301" t="inlineStr" s="27">
        <is>
          <t xml:space="preserve">Catalog price &gt; lights</t>
        </is>
      </c>
      <c r="C301" s="9">
        <f>'Seed product catalog — provisio'!C8</f>
        <v>18</v>
      </c>
    </row>
    <row r="302" outlineLevel="1">
      <c r="A302" t="inlineStr" s="27">
        <is>
          <t xml:space="preserve">Catalog price &gt; pack</t>
        </is>
      </c>
      <c r="C302" s="9">
        <f>'Seed product catalog — provisio'!C9</f>
        <v>160</v>
      </c>
    </row>
    <row r="303" outlineLevel="1">
      <c r="A303" t="inlineStr" s="27">
        <is>
          <t xml:space="preserve">Catalog price &gt; poles</t>
        </is>
      </c>
      <c r="C303" s="9">
        <f>'Seed product catalog — provisio'!C10</f>
        <v>90</v>
      </c>
    </row>
    <row r="304" outlineLevel="1">
      <c r="A304" t="inlineStr" s="27">
        <is>
          <t xml:space="preserve">Catalog price &gt; pouch</t>
        </is>
      </c>
      <c r="C304" s="9">
        <f>'Seed product catalog — provisio'!C11</f>
        <v>25</v>
      </c>
    </row>
    <row r="305" outlineLevel="1">
      <c r="A305" t="inlineStr" s="27">
        <is>
          <t xml:space="preserve">Catalog price &gt; tent</t>
        </is>
      </c>
      <c r="C305" s="9">
        <f>'Seed product catalog — provisio'!C12</f>
        <v>280</v>
      </c>
    </row>
    <row r="307">
      <c r="A307" t="inlineStr" s="25">
        <is>
          <t xml:space="preserve">Dimensions</t>
        </is>
      </c>
    </row>
    <row r="308">
      <c r="A308" t="inlineStr" s="26">
        <is>
          <t xml:space="preserve">Region</t>
        </is>
      </c>
      <c r="B308" t="inlineStr" s="28">
        <is>
          <t xml:space="preserve">Harbor Bay</t>
        </is>
      </c>
    </row>
    <row r="309">
      <c r="A309" t="inlineStr" s="26">
        <is>
          <t xml:space="preserve">Product</t>
        </is>
      </c>
      <c r="B309" t="inlineStr" s="28">
        <is>
          <t xml:space="preserve">boots</t>
        </is>
      </c>
      <c r="C309" t="inlineStr" s="28">
        <is>
          <t xml:space="preserve">bottle</t>
        </is>
      </c>
      <c r="D309" t="inlineStr" s="28">
        <is>
          <t xml:space="preserve">charger</t>
        </is>
      </c>
      <c r="E309" t="inlineStr" s="28">
        <is>
          <t xml:space="preserve">lights</t>
        </is>
      </c>
      <c r="F309" t="inlineStr" s="28">
        <is>
          <t xml:space="preserve">pack</t>
        </is>
      </c>
      <c r="G309" t="inlineStr" s="28">
        <is>
          <t xml:space="preserve">poles</t>
        </is>
      </c>
      <c r="H309" t="inlineStr" s="28">
        <is>
          <t xml:space="preserve">pouch</t>
        </is>
      </c>
      <c r="I309" t="inlineStr" s="28">
        <is>
          <t xml:space="preserve">tent</t>
        </is>
      </c>
    </row>
  </sheetData>
  <mergeCells count="2">
    <mergeCell ref="A1:S1"/>
    <mergeCell ref="A2:S2"/>
  </mergeCells>
</worksheet>
</file>